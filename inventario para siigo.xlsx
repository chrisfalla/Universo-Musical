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Escritorio\"/>
    </mc:Choice>
  </mc:AlternateContent>
  <bookViews>
    <workbookView xWindow="0" yWindow="0" windowWidth="19200" windowHeight="6470"/>
  </bookViews>
  <sheets>
    <sheet name="instrumentos " sheetId="1" r:id="rId1"/>
    <sheet name="acesorios " sheetId="2" r:id="rId2"/>
  </sheets>
  <definedNames>
    <definedName name="_xlnm._FilterDatabase" localSheetId="1" hidden="1">'acesorios '!$A$1:$E$385</definedName>
    <definedName name="_xlnm._FilterDatabase" localSheetId="0" hidden="1">'instrumentos '!$A$1:$F$119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79" i="2" l="1"/>
  <c r="E577" i="2"/>
  <c r="E576" i="2"/>
  <c r="E575" i="2"/>
  <c r="E574" i="2"/>
  <c r="E573" i="2"/>
  <c r="E572" i="2"/>
  <c r="E571" i="2"/>
  <c r="E570" i="2"/>
  <c r="E569" i="2"/>
  <c r="E568" i="2"/>
  <c r="E567" i="2"/>
  <c r="E566" i="2"/>
  <c r="E565" i="2"/>
  <c r="E564" i="2"/>
  <c r="E563" i="2"/>
  <c r="E562" i="2"/>
  <c r="E561" i="2"/>
  <c r="E560" i="2"/>
  <c r="E559" i="2"/>
  <c r="E558" i="2"/>
  <c r="E557" i="2"/>
  <c r="E556" i="2"/>
  <c r="E555" i="2"/>
  <c r="E554" i="2"/>
  <c r="E553" i="2"/>
  <c r="E552" i="2"/>
  <c r="E551" i="2"/>
  <c r="E550" i="2"/>
  <c r="E549" i="2"/>
  <c r="E548" i="2"/>
  <c r="E547" i="2"/>
  <c r="E546" i="2"/>
  <c r="E545" i="2"/>
  <c r="E544" i="2"/>
  <c r="E543" i="2"/>
  <c r="E542" i="2"/>
  <c r="E541" i="2"/>
  <c r="E540" i="2"/>
  <c r="E539" i="2"/>
  <c r="E538" i="2"/>
  <c r="E537" i="2"/>
  <c r="E536" i="2"/>
  <c r="E535" i="2"/>
  <c r="E534" i="2"/>
  <c r="E533" i="2"/>
  <c r="E532" i="2"/>
  <c r="E531" i="2"/>
  <c r="E530" i="2"/>
  <c r="E529" i="2"/>
  <c r="E528" i="2"/>
  <c r="E527" i="2"/>
  <c r="E526" i="2"/>
  <c r="E525" i="2"/>
  <c r="E524" i="2"/>
  <c r="E523" i="2"/>
  <c r="E522" i="2"/>
  <c r="E521" i="2"/>
  <c r="E520" i="2"/>
  <c r="E519" i="2"/>
  <c r="E518" i="2"/>
  <c r="E517" i="2"/>
  <c r="E516" i="2"/>
  <c r="E515" i="2"/>
  <c r="E514" i="2"/>
  <c r="E513" i="2"/>
  <c r="E512" i="2"/>
  <c r="E511" i="2"/>
  <c r="E510" i="2"/>
  <c r="E509" i="2"/>
  <c r="E508" i="2"/>
  <c r="E507" i="2"/>
  <c r="E506" i="2"/>
  <c r="E505" i="2"/>
  <c r="E504" i="2"/>
  <c r="E503" i="2"/>
  <c r="E502" i="2"/>
  <c r="E501" i="2"/>
  <c r="E500" i="2"/>
  <c r="E499" i="2"/>
  <c r="E498" i="2"/>
  <c r="E497" i="2"/>
  <c r="E496" i="2"/>
  <c r="E495" i="2"/>
  <c r="E494" i="2"/>
  <c r="E493" i="2"/>
  <c r="E492" i="2"/>
  <c r="E491" i="2"/>
  <c r="E490" i="2"/>
  <c r="E489" i="2"/>
  <c r="E488" i="2"/>
  <c r="E487" i="2"/>
  <c r="E486" i="2"/>
  <c r="E485" i="2"/>
  <c r="E484" i="2"/>
  <c r="E483" i="2"/>
  <c r="E482" i="2"/>
  <c r="E481" i="2"/>
  <c r="E480" i="2"/>
  <c r="E479" i="2"/>
  <c r="E478" i="2"/>
  <c r="E477" i="2"/>
  <c r="E476" i="2"/>
  <c r="E475" i="2"/>
  <c r="E474" i="2"/>
  <c r="E473" i="2"/>
  <c r="E472" i="2"/>
  <c r="E471" i="2"/>
  <c r="E470" i="2"/>
  <c r="E469" i="2"/>
  <c r="E468" i="2"/>
  <c r="E467" i="2"/>
  <c r="E466" i="2"/>
  <c r="E465" i="2"/>
  <c r="E464" i="2"/>
  <c r="E463" i="2"/>
  <c r="E462" i="2"/>
  <c r="E461" i="2"/>
  <c r="E460" i="2"/>
  <c r="E459" i="2"/>
  <c r="E458" i="2"/>
  <c r="E457" i="2"/>
  <c r="E456" i="2"/>
  <c r="E455" i="2"/>
  <c r="E454" i="2"/>
  <c r="E453" i="2"/>
  <c r="E452" i="2"/>
  <c r="E451" i="2"/>
  <c r="E450" i="2"/>
  <c r="E449" i="2"/>
  <c r="E448" i="2"/>
  <c r="E447" i="2"/>
  <c r="E446" i="2"/>
  <c r="E445" i="2"/>
  <c r="E444" i="2"/>
  <c r="E443" i="2"/>
  <c r="E442" i="2"/>
  <c r="E441" i="2"/>
  <c r="E440" i="2"/>
  <c r="E439" i="2"/>
  <c r="E438" i="2"/>
  <c r="E437" i="2"/>
  <c r="E436" i="2"/>
  <c r="E435" i="2"/>
  <c r="E434" i="2"/>
  <c r="E433" i="2"/>
  <c r="E432" i="2"/>
  <c r="E431" i="2"/>
  <c r="E430" i="2"/>
  <c r="E429" i="2"/>
  <c r="E428" i="2"/>
  <c r="E427" i="2"/>
  <c r="E426" i="2"/>
  <c r="E425" i="2"/>
  <c r="E424" i="2"/>
  <c r="E423" i="2"/>
  <c r="E422" i="2"/>
  <c r="E421" i="2"/>
  <c r="E420" i="2"/>
  <c r="E419" i="2"/>
  <c r="E418" i="2"/>
  <c r="E417" i="2"/>
  <c r="E416" i="2"/>
  <c r="E415" i="2"/>
  <c r="E414" i="2"/>
  <c r="E413" i="2"/>
  <c r="E412" i="2"/>
  <c r="E411" i="2"/>
  <c r="E410" i="2"/>
  <c r="E409" i="2"/>
  <c r="E408" i="2"/>
  <c r="E407" i="2"/>
  <c r="E406" i="2"/>
  <c r="E405" i="2"/>
  <c r="E404" i="2"/>
  <c r="E403" i="2"/>
  <c r="E402" i="2"/>
  <c r="E401" i="2"/>
  <c r="E400" i="2"/>
  <c r="E399" i="2"/>
  <c r="E398" i="2"/>
  <c r="E397" i="2"/>
  <c r="E396" i="2"/>
  <c r="E395" i="2"/>
  <c r="E394" i="2"/>
  <c r="E393" i="2"/>
  <c r="E392" i="2"/>
  <c r="E391" i="2"/>
  <c r="E390" i="2"/>
  <c r="E389" i="2"/>
  <c r="E388" i="2"/>
  <c r="E387" i="2"/>
  <c r="E386" i="2"/>
  <c r="E385" i="2"/>
  <c r="E384" i="2"/>
  <c r="E383" i="2"/>
  <c r="E382" i="2"/>
  <c r="E381" i="2"/>
  <c r="E380" i="2"/>
  <c r="E379" i="2"/>
  <c r="E378" i="2"/>
  <c r="E377" i="2"/>
  <c r="E376" i="2"/>
  <c r="E375" i="2"/>
  <c r="E374" i="2"/>
  <c r="E373" i="2"/>
  <c r="E372" i="2"/>
  <c r="E371" i="2"/>
  <c r="E370" i="2"/>
  <c r="E369" i="2"/>
  <c r="E368" i="2"/>
  <c r="E367" i="2"/>
  <c r="E366" i="2"/>
  <c r="E365" i="2"/>
  <c r="E364" i="2"/>
  <c r="E363" i="2"/>
  <c r="E362" i="2"/>
  <c r="E361" i="2"/>
  <c r="E360" i="2"/>
  <c r="E359" i="2"/>
  <c r="E358" i="2"/>
  <c r="E357" i="2"/>
  <c r="E356" i="2"/>
  <c r="E355" i="2"/>
  <c r="E354" i="2"/>
  <c r="E353" i="2"/>
  <c r="E352" i="2"/>
  <c r="E351" i="2"/>
  <c r="E350" i="2"/>
  <c r="E349" i="2"/>
  <c r="E348" i="2"/>
  <c r="E347" i="2"/>
  <c r="E346" i="2"/>
  <c r="E345" i="2"/>
  <c r="E344" i="2"/>
  <c r="E343" i="2"/>
  <c r="E342" i="2"/>
  <c r="E341" i="2"/>
  <c r="E340" i="2"/>
  <c r="E339" i="2"/>
  <c r="E338" i="2"/>
  <c r="E337" i="2"/>
  <c r="E336" i="2"/>
  <c r="E335" i="2"/>
  <c r="E334" i="2"/>
  <c r="E333" i="2"/>
  <c r="E332" i="2"/>
  <c r="E331" i="2"/>
  <c r="E330" i="2"/>
  <c r="E329" i="2"/>
  <c r="E328" i="2"/>
  <c r="E327" i="2"/>
  <c r="E326" i="2"/>
  <c r="E325" i="2"/>
  <c r="E324" i="2"/>
  <c r="E323" i="2"/>
  <c r="E322" i="2"/>
  <c r="E321" i="2"/>
  <c r="E320" i="2"/>
  <c r="E319" i="2"/>
  <c r="E318" i="2"/>
  <c r="E317" i="2"/>
  <c r="E316" i="2"/>
  <c r="E315" i="2"/>
  <c r="E314" i="2"/>
  <c r="E313" i="2"/>
  <c r="E312" i="2"/>
  <c r="E311" i="2"/>
  <c r="E310" i="2"/>
  <c r="E309" i="2"/>
  <c r="E308" i="2"/>
  <c r="E307" i="2"/>
  <c r="E306" i="2"/>
  <c r="E305" i="2"/>
  <c r="E304" i="2"/>
  <c r="E303" i="2"/>
  <c r="E302" i="2"/>
  <c r="E301" i="2"/>
  <c r="E300" i="2"/>
  <c r="E299" i="2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E285" i="2"/>
  <c r="E284" i="2"/>
  <c r="E283" i="2"/>
  <c r="E282" i="2"/>
  <c r="E281" i="2"/>
  <c r="E280" i="2"/>
  <c r="E279" i="2"/>
  <c r="E278" i="2"/>
  <c r="E277" i="2"/>
  <c r="E276" i="2"/>
  <c r="E275" i="2"/>
  <c r="E274" i="2"/>
  <c r="E273" i="2"/>
  <c r="E272" i="2"/>
  <c r="E271" i="2"/>
  <c r="E270" i="2"/>
  <c r="E269" i="2"/>
  <c r="E268" i="2"/>
  <c r="E267" i="2"/>
  <c r="E266" i="2"/>
  <c r="E265" i="2"/>
  <c r="E264" i="2"/>
  <c r="E263" i="2"/>
  <c r="E262" i="2"/>
  <c r="E261" i="2"/>
  <c r="E260" i="2"/>
  <c r="E259" i="2"/>
  <c r="E258" i="2"/>
  <c r="E257" i="2"/>
  <c r="E256" i="2"/>
  <c r="E255" i="2"/>
  <c r="E254" i="2"/>
  <c r="E253" i="2"/>
  <c r="E252" i="2"/>
  <c r="E251" i="2"/>
  <c r="E250" i="2"/>
  <c r="E249" i="2"/>
  <c r="E248" i="2"/>
  <c r="E247" i="2"/>
  <c r="E246" i="2"/>
  <c r="E245" i="2"/>
  <c r="E244" i="2"/>
  <c r="E243" i="2"/>
  <c r="E242" i="2"/>
  <c r="E241" i="2"/>
  <c r="E240" i="2"/>
  <c r="E239" i="2"/>
  <c r="E238" i="2"/>
  <c r="E237" i="2"/>
  <c r="E236" i="2"/>
  <c r="E235" i="2"/>
  <c r="E234" i="2"/>
  <c r="E233" i="2"/>
  <c r="E232" i="2"/>
  <c r="E231" i="2"/>
  <c r="E230" i="2"/>
  <c r="E229" i="2"/>
  <c r="E228" i="2"/>
  <c r="E227" i="2"/>
  <c r="E226" i="2"/>
  <c r="E225" i="2"/>
  <c r="E224" i="2"/>
  <c r="E223" i="2"/>
  <c r="E222" i="2"/>
  <c r="E221" i="2"/>
  <c r="E220" i="2"/>
  <c r="E219" i="2"/>
  <c r="E218" i="2"/>
  <c r="E217" i="2"/>
  <c r="E216" i="2"/>
  <c r="E215" i="2"/>
  <c r="E214" i="2"/>
  <c r="E213" i="2"/>
  <c r="E212" i="2"/>
  <c r="E211" i="2"/>
  <c r="E210" i="2"/>
  <c r="E209" i="2"/>
  <c r="E208" i="2"/>
  <c r="E207" i="2"/>
  <c r="E206" i="2"/>
  <c r="E205" i="2"/>
  <c r="E204" i="2"/>
  <c r="E203" i="2"/>
  <c r="E202" i="2"/>
  <c r="E201" i="2"/>
  <c r="E200" i="2"/>
  <c r="E199" i="2"/>
  <c r="E198" i="2"/>
  <c r="E197" i="2"/>
  <c r="E196" i="2"/>
  <c r="E195" i="2"/>
  <c r="E194" i="2"/>
  <c r="E193" i="2"/>
  <c r="E192" i="2"/>
  <c r="E191" i="2"/>
  <c r="E190" i="2"/>
  <c r="E189" i="2"/>
  <c r="E188" i="2"/>
  <c r="E187" i="2"/>
  <c r="E186" i="2"/>
  <c r="E185" i="2"/>
  <c r="E184" i="2"/>
  <c r="E183" i="2"/>
  <c r="E182" i="2"/>
  <c r="E181" i="2"/>
  <c r="E180" i="2"/>
  <c r="E179" i="2"/>
  <c r="E178" i="2"/>
  <c r="E177" i="2"/>
  <c r="E176" i="2"/>
  <c r="E175" i="2"/>
  <c r="E174" i="2"/>
  <c r="E173" i="2"/>
  <c r="E172" i="2"/>
  <c r="E171" i="2"/>
  <c r="E170" i="2"/>
  <c r="E169" i="2"/>
  <c r="E168" i="2"/>
  <c r="E167" i="2"/>
  <c r="E166" i="2"/>
  <c r="E165" i="2"/>
  <c r="E164" i="2"/>
  <c r="E163" i="2"/>
  <c r="E162" i="2"/>
  <c r="E161" i="2"/>
  <c r="E160" i="2"/>
  <c r="E159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D302" i="1" l="1"/>
</calcChain>
</file>

<file path=xl/sharedStrings.xml><?xml version="1.0" encoding="utf-8"?>
<sst xmlns="http://schemas.openxmlformats.org/spreadsheetml/2006/main" count="1171" uniqueCount="886">
  <si>
    <t>ARTICULO</t>
  </si>
  <si>
    <t>CANTIDAD</t>
  </si>
  <si>
    <t>Incluye</t>
  </si>
  <si>
    <t xml:space="preserve">Precio en tienda </t>
  </si>
  <si>
    <t>Se vende</t>
  </si>
  <si>
    <t>inventario actual</t>
  </si>
  <si>
    <t>ACORDION INFANTIL BOTONES EASTOP DF910</t>
  </si>
  <si>
    <t>ACORDION INFANTIL TECLAS EASTOP DF911</t>
  </si>
  <si>
    <t>AMPLIFICADOR MARCA BELCAT 10W PARA GUITARRA CON OVER DRIVE REFERENCIA GS-10</t>
  </si>
  <si>
    <t>AMPLIFICADOR MARCA BELCAT 15W 6.5" WOOFER PARA GUITARRA REFERENCIA GS-15</t>
  </si>
  <si>
    <t>AMPLIFICADOR GUITARRA 15W TG-15</t>
  </si>
  <si>
    <t>AMPLIFICADOR GUITARRA 40W TG-40</t>
  </si>
  <si>
    <t>ARMÓNICA 10 HOLE - JDR-10</t>
  </si>
  <si>
    <t>ARMÓNICA 24 HOLE - JDR-24</t>
  </si>
  <si>
    <t>ARMONICA TREMOLO MASTER DE 24 AGUJEROS  MH-24</t>
  </si>
  <si>
    <t>ARMONICA TREMOLO MASTER MH-24</t>
  </si>
  <si>
    <t>BAJO 5 CUERDAS ACTIVO BS-11</t>
  </si>
  <si>
    <t xml:space="preserve">BAJO ELEC JACKSON JS2P SPECTRA AZUL 4C PJ         </t>
  </si>
  <si>
    <t xml:space="preserve">BAJO ELEC SQUIER AFF PRECISION NEGRO MAPLE 4C PJ  </t>
  </si>
  <si>
    <t>BAJO ELECTRICO TAGIMA TW-73 SB D/TT</t>
  </si>
  <si>
    <t xml:space="preserve">CABLE PLUS NEGRO EN CAJA </t>
  </si>
  <si>
    <t>BAJO ELECTRICO TBM-5 SB D/WH</t>
  </si>
  <si>
    <t>BATERIA ELECTRONICA ALESIS NITROMAXKIT</t>
  </si>
  <si>
    <t xml:space="preserve">baquetas </t>
  </si>
  <si>
    <t>BATERIA ELECTRONICA CARLSBRO CSD100 7P</t>
  </si>
  <si>
    <t>CABINA ACTIVA EV ZLX 15P G2 1000W</t>
  </si>
  <si>
    <t>CABINA YAMAKIACTIVA BI-AMPLIFICADA</t>
  </si>
  <si>
    <t>CONTROL Y CABLE</t>
  </si>
  <si>
    <t>CAJA 14" BANDA MARCIAL</t>
  </si>
  <si>
    <t>CAJÓN PERUANO MG-ZE (CJD-2)</t>
  </si>
  <si>
    <t>campana grande</t>
  </si>
  <si>
    <t>campana mediana</t>
  </si>
  <si>
    <t>CENCERRO 7"</t>
  </si>
  <si>
    <t>CENCERRO 9"</t>
  </si>
  <si>
    <t xml:space="preserve">chucho grande </t>
  </si>
  <si>
    <t>chucho pequeño</t>
  </si>
  <si>
    <t>COMBO BAJO ELECTRICO PB1 + AMPLIFICADOR + CABLE + CORREA + ESTUCHE</t>
  </si>
  <si>
    <t xml:space="preserve">COMBO GUIT ACUSTICA FENDER CD60S NATURAL FOLK           </t>
  </si>
  <si>
    <t>estuche lona cuerdas y correa y caja</t>
  </si>
  <si>
    <t>COMBO GUITARRA ELÉCTRICA + AMPLIFICADOR 15W + CABLE + CORREA + ESTUCHE</t>
  </si>
  <si>
    <t>Ayson</t>
  </si>
  <si>
    <t>CUATRO EN CEDRO</t>
  </si>
  <si>
    <t>CUATRO EN PINO CIPRES</t>
  </si>
  <si>
    <t>cuatro pino abeto aleman</t>
  </si>
  <si>
    <t xml:space="preserve">esterillas </t>
  </si>
  <si>
    <t>FLAUTA DULCE</t>
  </si>
  <si>
    <t>FLAUTA DULCE SOPRANO GREKO ROSADA</t>
  </si>
  <si>
    <t>FLAUTA DULCE SOPRANO GREKO UNA PIEZA JH099</t>
  </si>
  <si>
    <t>FLAUTA DULCE SOPRANO YAMAHA YRS-20 AZUL</t>
  </si>
  <si>
    <t>FLAUTA DULCE SOPRANO YAMAHA YRS-20 VERDE</t>
  </si>
  <si>
    <t>FLAUTA DULCE SOPRANO YAMAHA YRS-23 BEIGE</t>
  </si>
  <si>
    <t>Estuche</t>
  </si>
  <si>
    <t>FLAUTA SOPRANO GREKO JH099</t>
  </si>
  <si>
    <t>FLAUTA SOPRANO ORIOLUS KSR16B</t>
  </si>
  <si>
    <t>GOLPEADOR LIRA O XILOFONO</t>
  </si>
  <si>
    <t xml:space="preserve">GOLPEADOR TAMBOR </t>
  </si>
  <si>
    <t>Guiro #1</t>
  </si>
  <si>
    <t>trinche</t>
  </si>
  <si>
    <t>guiro #1 calidad</t>
  </si>
  <si>
    <t>guiro #2 calidad</t>
  </si>
  <si>
    <t>Guiro #6</t>
  </si>
  <si>
    <t>güiros #1</t>
  </si>
  <si>
    <t>güiros #2</t>
  </si>
  <si>
    <t>güiros #3</t>
  </si>
  <si>
    <t>güiros #4</t>
  </si>
  <si>
    <t>GUITARRA ACUSTICA DEVISER L806 EQ N FOLK</t>
  </si>
  <si>
    <t>GUITARRA ACUSTICA DEVISER L807 EQ FOLK</t>
  </si>
  <si>
    <t>GUITARRA ACUSTICA ELECTRO/ACUSTICA DEVISER L806-EQ 3TS</t>
  </si>
  <si>
    <t>GUITARRA ACUSTICA ELECTRO/ACUSTICA DEVISER L806-EQ BK</t>
  </si>
  <si>
    <t>GUITARRA AYSON 4110</t>
  </si>
  <si>
    <t>GUITARRA AYSON 4110 BRILLANTE</t>
  </si>
  <si>
    <t>GUITARRA CLASICA DEVISER L320EQ</t>
  </si>
  <si>
    <t>GUITARRA CLASICA ELECTRO/ACUSTICA DEVISER L320EQ</t>
  </si>
  <si>
    <t>GUITARRA CLÁSICA ELECTROACÚSTICA CL4052E</t>
  </si>
  <si>
    <t>GUITARRA D CATALA CLASICA CC-2CE</t>
  </si>
  <si>
    <t>GUITARRA ELÉCTRICA TAGIMA METALLIC ROJO</t>
  </si>
  <si>
    <t>GUITARRA ELÉCTRICA TIPO ST2 negra</t>
  </si>
  <si>
    <t xml:space="preserve">GUITARRA ELECTRO TAGIMA TW-29 EQ </t>
  </si>
  <si>
    <t>GUITARRA ELECTRO AC DP ACERO MC2 PASTILLA</t>
  </si>
  <si>
    <t>GUITARRA ELECTRO AC OV ACERO MC 1 PASTILLA</t>
  </si>
  <si>
    <t>GUITARRA ELECTRO TAGIMA TW-29 EQ NTS D</t>
  </si>
  <si>
    <t>GUITARRA ELECTROACUSTICA AYSON 4114 MATE</t>
  </si>
  <si>
    <t xml:space="preserve">GUITARRA ELECTROACUSTICA BL380 TIPO FOLK </t>
  </si>
  <si>
    <t>color clara</t>
  </si>
  <si>
    <t>COLOR NEGRA</t>
  </si>
  <si>
    <t>GUITARRA ELECTROACUSTICA BL380 TIPO FOLK natural</t>
  </si>
  <si>
    <t>GUITARRA ELECTROACUSTICA DONNER</t>
  </si>
  <si>
    <t>GUITARRA EMPERNADA BOQUILLA DE AGUA</t>
  </si>
  <si>
    <t>GUITARRA ESTUDIO BOQUETE</t>
  </si>
  <si>
    <t>GUITARRA ESTUDIO BOQUETE 3/4</t>
  </si>
  <si>
    <t>GUITARRA ESTUDIO CLASICA</t>
  </si>
  <si>
    <t>CHERUB GB-1 MICRÓFONO</t>
  </si>
  <si>
    <t>GUITARRA ESTUDIO PICO</t>
  </si>
  <si>
    <t>Guitarra infantil</t>
  </si>
  <si>
    <t xml:space="preserve">Guitarra junior </t>
  </si>
  <si>
    <t>GUITARRA PINO ABETO ALEMAN</t>
  </si>
  <si>
    <t>CHERUB GS-3 MICRÓFONO</t>
  </si>
  <si>
    <t>GUITARRA PINO CIPRES BOQUETE</t>
  </si>
  <si>
    <t xml:space="preserve">CHERUB CT-3 MICRÓFONO </t>
  </si>
  <si>
    <t>GUITARRA PINO CIPRES CLASICA</t>
  </si>
  <si>
    <t>Guitarra puntera de cedro zurda boquilla de agua</t>
  </si>
  <si>
    <t>Guitarra puntera de cedro</t>
  </si>
  <si>
    <t>GUITARRA PUNTERA PINO CIPRES CLASICA – BOQUETE</t>
  </si>
  <si>
    <t xml:space="preserve">CHERUB GB-1 MICRÓFONO </t>
  </si>
  <si>
    <t>JAMBLOCK AZUL</t>
  </si>
  <si>
    <t>JAMBLOCK ROJO</t>
  </si>
  <si>
    <t>KALIMBA GREKO K17-4</t>
  </si>
  <si>
    <t>KALIMBA GREKO K21-8</t>
  </si>
  <si>
    <t>KIT DE BATERIA ELECTRÓNICA USB DIGITAL COMPACTA ENROLLABLE</t>
  </si>
  <si>
    <t>LIRA INGLESA CONCIERTO</t>
  </si>
  <si>
    <t xml:space="preserve">marranas </t>
  </si>
  <si>
    <t xml:space="preserve">METALOFONO CROMATICO CON ESTUCHE PLASTICO </t>
  </si>
  <si>
    <t>MICROFONO SHURE SM58</t>
  </si>
  <si>
    <t>MICROFONO SHURE SV200</t>
  </si>
  <si>
    <t>PANDERETA ALICE ATB002 AZUL</t>
  </si>
  <si>
    <t>PANDERETA ALICE ATB002 BLANCA</t>
  </si>
  <si>
    <t>PANDERETA ALICE ATB002 NEGRA</t>
  </si>
  <si>
    <t>PANDERETA ALICE ATB002 ROJA</t>
  </si>
  <si>
    <t>PANDERETA ALICE ATB002 ROSADA</t>
  </si>
  <si>
    <t>PANDERETA ALICE ATB002 VERDE</t>
  </si>
  <si>
    <t>PANDERETA COMPLETA 10"</t>
  </si>
  <si>
    <t>PANDERETA COMPLETA 8"</t>
  </si>
  <si>
    <t>PANDERETA MEDIA LUNA colores variados</t>
  </si>
  <si>
    <t>PANDERETA PARCHE NATURAL 8 TM108-8"</t>
  </si>
  <si>
    <t>panderetas #4</t>
  </si>
  <si>
    <t>panderetas #5</t>
  </si>
  <si>
    <t xml:space="preserve">PIANO CASIO PX-S1000 7/8 NEGRO                    </t>
  </si>
  <si>
    <t>Adaptador</t>
  </si>
  <si>
    <t>PIANO DIGITAL AYSON GS - 100</t>
  </si>
  <si>
    <t>REDOBLANTE METALICO 1455</t>
  </si>
  <si>
    <t>REQUINTO ESTRELLA PINO ABETO ALEMAN</t>
  </si>
  <si>
    <t>SET CAMPANA</t>
  </si>
  <si>
    <t xml:space="preserve">SET CAMPANAS </t>
  </si>
  <si>
    <t>SET PERCUSION  + BOLSO</t>
  </si>
  <si>
    <t>tambor infantil grande</t>
  </si>
  <si>
    <t>Tambor mediano san juanero</t>
  </si>
  <si>
    <t xml:space="preserve">TECLADO CASIO CT-S200 5/8 CASIOTONE NEGRO         </t>
  </si>
  <si>
    <t xml:space="preserve">TECLADO CASIO CT-X5000 5/8 NEGRO                  </t>
  </si>
  <si>
    <t xml:space="preserve">TECLADO CASIO CT-X800 5/8 NEGRO                   </t>
  </si>
  <si>
    <t>TECLADO MEDELI MK200</t>
  </si>
  <si>
    <t>TECLADO MEDELI MK300</t>
  </si>
  <si>
    <t>TECLADO MEDELI MK401</t>
  </si>
  <si>
    <t>TECLADO NUX NEK-100</t>
  </si>
  <si>
    <t>Devolucion 06-06-2025</t>
  </si>
  <si>
    <t>TECLADO YAMAHA P-225B CON ADAPTADOR PA-150</t>
  </si>
  <si>
    <t>TECLADO YAMAHA PSR383 CON ADAPTADOR PA-3</t>
  </si>
  <si>
    <t>TECLADO YAMAHA PSR473 CON ADAPTADOR PA-150</t>
  </si>
  <si>
    <t>TECLADO YAMAHA PSR-E473</t>
  </si>
  <si>
    <t>timbal ayson plateado</t>
  </si>
  <si>
    <t>TIPLE CEDRO</t>
  </si>
  <si>
    <t>TIPLE EN PINO CIPRES</t>
  </si>
  <si>
    <t>TIPLE REQUINTO EN PINO CIPRES</t>
  </si>
  <si>
    <t>TIPLE REQUINTO EN PINO CIPRES negro modificado</t>
  </si>
  <si>
    <t>cherub gb1</t>
  </si>
  <si>
    <t>ukelele color concierto rosa verde menta rojo</t>
  </si>
  <si>
    <t>UKELELE COLORS SOPRANO rojo, negro y madera</t>
  </si>
  <si>
    <t>UKELELE CONCIERTO ABETO GUITARIST NO240</t>
  </si>
  <si>
    <t>UKELELE CONCIERTO AYSON</t>
  </si>
  <si>
    <t xml:space="preserve">UKELELE CONCIERTO AYSON </t>
  </si>
  <si>
    <t>UKELELE CONCIERTO AYSON SAPELLI</t>
  </si>
  <si>
    <t>ukelele concierto pino</t>
  </si>
  <si>
    <t xml:space="preserve">UKELELE TENNOR AYSON </t>
  </si>
  <si>
    <t>UKULELE CONCIERTO ANDALUCIA</t>
  </si>
  <si>
    <t>Forro</t>
  </si>
  <si>
    <t>UKULELE CONCIERTO GREKO MUK-23</t>
  </si>
  <si>
    <t>UKULELE DEVISER SOPRANO UK21-50</t>
  </si>
  <si>
    <t>UKULELE DEVISER UK24-65</t>
  </si>
  <si>
    <t>UKULELE HANDEL CONCIERTO HU60-23</t>
  </si>
  <si>
    <t>UKULELE SOPRANO</t>
  </si>
  <si>
    <t>UKULELE TENOR</t>
  </si>
  <si>
    <t>UKULELE THENOR</t>
  </si>
  <si>
    <t xml:space="preserve">VIOILIN 1/2 EVERFUN </t>
  </si>
  <si>
    <t>VIOLÍN Brillante  AYSON 3/4</t>
  </si>
  <si>
    <t>estuche semiduro, arco y colofonia</t>
  </si>
  <si>
    <t>VIOLÍN Brillante AYSON 4/4</t>
  </si>
  <si>
    <t>VIOLIN GREKO VB301M 1/2</t>
  </si>
  <si>
    <t>VIOLIN GREKO VB301M 1/4</t>
  </si>
  <si>
    <t>VIOLIN GREKO VB301M 1/8</t>
  </si>
  <si>
    <t>VIOLIN GREKO VB301M 3/4</t>
  </si>
  <si>
    <t>VIOLIN GREKO VB301M 4/4</t>
  </si>
  <si>
    <t>XILOFONO 12 NOTAS COLORES</t>
  </si>
  <si>
    <t>XILOFONO 12 NOTAS NATURAL</t>
  </si>
  <si>
    <t>Guiro De Calabaza</t>
  </si>
  <si>
    <t>Harmonica Mc-art L402a 24 Notas</t>
  </si>
  <si>
    <t>Redoblante Jinbao Jbs1057</t>
  </si>
  <si>
    <t>Teclado Casio Casiotone Ct-s300</t>
  </si>
  <si>
    <t>Teclado Casio Ct-x5000 Con Adaptador</t>
  </si>
  <si>
    <t>Ukulele Electroacustico Mc-art Ku-ce/b Concert</t>
  </si>
  <si>
    <t>Ukulele Mc-art Uk-01</t>
  </si>
  <si>
    <t xml:space="preserve">Guitarra donner Acustica </t>
  </si>
  <si>
    <t xml:space="preserve">Ukelele Soprano donner + forro </t>
  </si>
  <si>
    <t xml:space="preserve">GUITARRA ELECTRICA AYSON SSH </t>
  </si>
  <si>
    <t>GUITARRA JUGUETE IMÁGENES</t>
  </si>
  <si>
    <t>XILOFONO 15 NOTAS NATURAL</t>
  </si>
  <si>
    <t xml:space="preserve">1101 (1a.) NYLON MASTER TRANSPARENTE </t>
  </si>
  <si>
    <t xml:space="preserve">1102 (2a.) NYLON MASTER TRANSPARENTE </t>
  </si>
  <si>
    <t xml:space="preserve">1103 (3a.) NYLON MASTER TRANSPARENTE </t>
  </si>
  <si>
    <t>1104 (4a.) INOXIDABLE, TENSION NORMAL</t>
  </si>
  <si>
    <t>1105 (5a.) INOXIDABLE, TENSION NORMAL</t>
  </si>
  <si>
    <t>1106 (6a.) INOXIDABLE, TENSION NORMAL</t>
  </si>
  <si>
    <t xml:space="preserve">131  (1a.) NYLON MASTER TRANSPARENTE </t>
  </si>
  <si>
    <t xml:space="preserve">132  (2a.) NYLON MASTER TRANSPARENTE </t>
  </si>
  <si>
    <t>133  (3a.) NYLON MASTER TRANSPARENTE</t>
  </si>
  <si>
    <t xml:space="preserve">134   (4a.)INOXIDABLE Y POLICHADA </t>
  </si>
  <si>
    <t xml:space="preserve">135   (5a.) INOXIDABLE Y POLICHADA </t>
  </si>
  <si>
    <t xml:space="preserve">136   (6a.) INOXIDABLE Y POLICHADA </t>
  </si>
  <si>
    <t xml:space="preserve">141 RQ (1a.) NYLON MASTER TRANSPARENTE </t>
  </si>
  <si>
    <t>ACEITE PARA VALVULAS</t>
  </si>
  <si>
    <t>ACEITE PLAYERS DELGADO LFO-L Trompeta etc</t>
  </si>
  <si>
    <t>ASE00014</t>
  </si>
  <si>
    <t xml:space="preserve">ACEITE PLAYERS PARA MADERA BORE-OL </t>
  </si>
  <si>
    <t>ACEITE SINTÉTICO PARA VALVULAS</t>
  </si>
  <si>
    <t xml:space="preserve">ADAPTADOR PIANO CASIO AD-E95100LMI 9.5V           </t>
  </si>
  <si>
    <t>ASE00017</t>
  </si>
  <si>
    <t>Adaptador plus pequeño a plus grande punta dorada</t>
  </si>
  <si>
    <t>Adaptador XLR hembra a hembra</t>
  </si>
  <si>
    <t>Adaptador xlr macho a plus hembra</t>
  </si>
  <si>
    <t>Adaptador xlr macho a plus macho</t>
  </si>
  <si>
    <t>ADAPTADOR YAMAHA PA-3</t>
  </si>
  <si>
    <t>ASE00022</t>
  </si>
  <si>
    <t>AFINADOR CHERUB WST-680</t>
  </si>
  <si>
    <t>AFINADOR DE PINZA CHERUB WST-525</t>
  </si>
  <si>
    <t>AFINADOR DE PINZA CHERUB WST-551C</t>
  </si>
  <si>
    <t>AFINADOR DE PINZA CHERUB WST-645</t>
  </si>
  <si>
    <t>AFINADOR DE PINZA JOYO JT-01</t>
  </si>
  <si>
    <t>ASE00028</t>
  </si>
  <si>
    <t>AFINADOR DIGITAL AROMA AT01-A</t>
  </si>
  <si>
    <t>AFINADOR DIGITAL MOGE</t>
  </si>
  <si>
    <t>AFINADOR JOYO JT-09</t>
  </si>
  <si>
    <t>ALMOHADILLA FOM VIOLIN ME045 1/2</t>
  </si>
  <si>
    <t>ALMOHADILLA GREKO VIOLIN SR03 4/4 o 3/4</t>
  </si>
  <si>
    <t>ASE00031</t>
  </si>
  <si>
    <t>ALMOHADILLA GREKO VIOLIN SR05 BK 4/4</t>
  </si>
  <si>
    <t xml:space="preserve">ALMOHADILLA PARA VIOLIN 4/4 </t>
  </si>
  <si>
    <t>ALMOHADILLA VIOLIN SR2225 4/4</t>
  </si>
  <si>
    <t>ALMOHADILLA VIOLIN SR2225 4/4 3/4</t>
  </si>
  <si>
    <t>ASE00034</t>
  </si>
  <si>
    <t>AMPLIFICADOR DE BAJO 40W TB-40</t>
  </si>
  <si>
    <t>ANILLO ALICE CHARANGO AP-M</t>
  </si>
  <si>
    <t>ANILLO ALICE GUITARRA AP-N</t>
  </si>
  <si>
    <t>ANILLO ALICE GUITARRA AP-N (XL)</t>
  </si>
  <si>
    <t>ANILLO PARA GUITARRA ayson</t>
  </si>
  <si>
    <t>ANILLO PLANET WAVES 5CSH6-50</t>
  </si>
  <si>
    <t>APOYA PIE BOSS J-46</t>
  </si>
  <si>
    <t>ARCO VIOLIN GB01 1/2</t>
  </si>
  <si>
    <t>ARCO VIOLIN GB01 1/8</t>
  </si>
  <si>
    <t>ARCO VIOLIN GB01 3/4</t>
  </si>
  <si>
    <t>ARCO VIOLIN GB01 4/4</t>
  </si>
  <si>
    <t>ATRIL 2 GUITARRAS JYC-J-L2</t>
  </si>
  <si>
    <t>ASE00044</t>
  </si>
  <si>
    <t>ATRIL DE PARTITURA D4 REF JYC-Y-D4</t>
  </si>
  <si>
    <t>ASE00045</t>
  </si>
  <si>
    <t>ATRIL GUITARRA DE PISO JYC-J-L1A</t>
  </si>
  <si>
    <t>ASE00046</t>
  </si>
  <si>
    <t>ATRIL HAMILTON MICROFONO KB810M</t>
  </si>
  <si>
    <t>ATRIL PARTITURA REF JYC-Y-A2</t>
  </si>
  <si>
    <t>ATRIL SAXO JYC-S-S8</t>
  </si>
  <si>
    <t>ATRIL TECLADO JYC-D-X3</t>
  </si>
  <si>
    <t>ASE00053</t>
  </si>
  <si>
    <t>ASE00054</t>
  </si>
  <si>
    <t>ATRIL TECLADO JYC-D-X4</t>
  </si>
  <si>
    <t>ASE00056</t>
  </si>
  <si>
    <t>ASE00057</t>
  </si>
  <si>
    <t>AUDIFONOS JOYO JMH-04</t>
  </si>
  <si>
    <t>AUDIFONOS KZ EDC-MIX BK</t>
  </si>
  <si>
    <t>ASE00059</t>
  </si>
  <si>
    <t>AUDIFONOS KZ EDX LITE</t>
  </si>
  <si>
    <t>ASE00060</t>
  </si>
  <si>
    <t>AUDIFONOS KZ MERGA STANDARD SILVER PLATED</t>
  </si>
  <si>
    <t>BAQUETA PROMARK 5A</t>
  </si>
  <si>
    <t>BAQUETA PROMARK 7A</t>
  </si>
  <si>
    <t xml:space="preserve">BAQUETA VIC FIRTH NOVA PUNTA MADERA 2B NAT        </t>
  </si>
  <si>
    <t xml:space="preserve">BAQUETA VIC FIRTH NOVA PUNTA MADERA 5A NAT        </t>
  </si>
  <si>
    <t>ASE00063</t>
  </si>
  <si>
    <t xml:space="preserve">BAQUETA VIC FIRTH NOVA PUNTA MADERA 5B NAT        </t>
  </si>
  <si>
    <t xml:space="preserve">BAQUETA VIC FIRTH NOVA PUNTA NYLON 2BN NAT        </t>
  </si>
  <si>
    <t xml:space="preserve">BAQUETA VIC FIRTH NOVA PUNTA NYLON 5AN NAT        </t>
  </si>
  <si>
    <t>ASE00066</t>
  </si>
  <si>
    <t xml:space="preserve">BAQUETA VIC FIRTH NOVA PUNTA NYLON 5ANB NEGRO     </t>
  </si>
  <si>
    <t>ASE00067</t>
  </si>
  <si>
    <t xml:space="preserve">BAQUETA VIC FIRTH NOVA PUNTA NYLON 5ANR ROJO      </t>
  </si>
  <si>
    <t xml:space="preserve">BAQUETA VIC FIRTH NOVA PUNTA NYLON 5BN NAT        </t>
  </si>
  <si>
    <t xml:space="preserve">BAQUETA VIC FIRTH NOVA PUNTA NYLON 7AN NAT        </t>
  </si>
  <si>
    <t>ASE00070</t>
  </si>
  <si>
    <t xml:space="preserve">BAQUETA ZILDJIAN PUNTA MADERA 5A NAT              </t>
  </si>
  <si>
    <t xml:space="preserve">BAQUETA ZILDJIAN PUNTA NYLON 5A NAT               </t>
  </si>
  <si>
    <t xml:space="preserve">BAQUETA ZILDJIAN PUNTA NYLON 5A NEGRO             </t>
  </si>
  <si>
    <t>BAQUETAS 7A PUNTA DE MADERA VICFIRTH</t>
  </si>
  <si>
    <t>BAQUETAS 7A PUNTA DE NYLON AYSON</t>
  </si>
  <si>
    <t>BAQUETAS GREKO ST04-5A</t>
  </si>
  <si>
    <t>BAQUETAS GREKO ST04-5B</t>
  </si>
  <si>
    <t>BAQUETAS GREKO ST04-5BN</t>
  </si>
  <si>
    <t>BAQUETAS GREKO ST04-7A</t>
  </si>
  <si>
    <t>BAQUETAS GREKO ST04-7AN</t>
  </si>
  <si>
    <t>BAQUETAS GREKO TIMBAL DR-ST05 LT</t>
  </si>
  <si>
    <t>BAQUETAS VIC FIRTH PUNTA MADERA 5A</t>
  </si>
  <si>
    <t>BASE DE MICROFONO JYC-M-M2</t>
  </si>
  <si>
    <t>ASE00077</t>
  </si>
  <si>
    <t>BASE HORIZONTAL 3 guitarras</t>
  </si>
  <si>
    <t>BASE MICROFONO PROEL LW MS10 UNIDAD</t>
  </si>
  <si>
    <t>ASE00078</t>
  </si>
  <si>
    <t>CABEZA SILICONA AUDIFONOS KZ</t>
  </si>
  <si>
    <t>CABLE GUITARRA 3 METROS TIPO FABRICA PL-P3</t>
  </si>
  <si>
    <t>ASE00080</t>
  </si>
  <si>
    <t>CABLE KIRLIN 10MT MW470 BKB</t>
  </si>
  <si>
    <t>ASE00081</t>
  </si>
  <si>
    <t>CABLE KIRLIN 3MT MPC-480</t>
  </si>
  <si>
    <t>ASE00083</t>
  </si>
  <si>
    <t>CABLE KIRLIN 6MT IM-201GSG GRF</t>
  </si>
  <si>
    <t>ASE00084</t>
  </si>
  <si>
    <t>CABLE KIRLIN 6MT IM-201PRG PUF</t>
  </si>
  <si>
    <t>ASE00086</t>
  </si>
  <si>
    <t>CABLE KIRLIN 6MT IM-201PRG RDF</t>
  </si>
  <si>
    <t>ASE00088</t>
  </si>
  <si>
    <t>CABLE KIRLIN 6MT IM-201YSG YEF</t>
  </si>
  <si>
    <t>ASE00090</t>
  </si>
  <si>
    <t>CABLE KIRLIN 6MT IPCV-241 BK</t>
  </si>
  <si>
    <t>ASE00092</t>
  </si>
  <si>
    <t>CABLE KIRLIN 6MT IPCV-242 BK</t>
  </si>
  <si>
    <t>ASE00093</t>
  </si>
  <si>
    <t>CABLE KIRLIN 6MT IWCC-201PN BKA</t>
  </si>
  <si>
    <t>CABLE KIRLIN MICROFONO 6MT MW470 PUB</t>
  </si>
  <si>
    <t>CABLE KIRLIN STEREO 3MT AP-264PRL BK</t>
  </si>
  <si>
    <t>ASE00097</t>
  </si>
  <si>
    <t>CABLE SILICONA 6M</t>
  </si>
  <si>
    <t>CABLE TECHMAN EXTENCION DE 3.5 A 3.5 1MT CA-1330</t>
  </si>
  <si>
    <t>CABLE TELA 3M</t>
  </si>
  <si>
    <t>CABLE TELA 6M</t>
  </si>
  <si>
    <t>CAJA BATERIA PARA MICROF BELCAT BH 400</t>
  </si>
  <si>
    <t>caja en acrílico</t>
  </si>
  <si>
    <t>ASE00103</t>
  </si>
  <si>
    <t xml:space="preserve">caja en acrílico Junior </t>
  </si>
  <si>
    <t>caja en madera</t>
  </si>
  <si>
    <t>ASE00107</t>
  </si>
  <si>
    <t>ASE00109</t>
  </si>
  <si>
    <t>CAJA PILA 7545</t>
  </si>
  <si>
    <t>CAJA PILA PRENER</t>
  </si>
  <si>
    <t>CAMPANA JAM BLOCK XS JBK-BL</t>
  </si>
  <si>
    <t>ASE00112</t>
  </si>
  <si>
    <t>CAÑA RICO ROYAL CLARINETE (CAJA POR 10 UNIDADES ) RCB1025</t>
  </si>
  <si>
    <t>CAPODASTRO ALICE A007C-PN</t>
  </si>
  <si>
    <t>ASE00117</t>
  </si>
  <si>
    <t>CAPODASTRO ALICE A007K/BK</t>
  </si>
  <si>
    <t>CAPODASTRO ALICE A007U/BK</t>
  </si>
  <si>
    <t>ASE00118</t>
  </si>
  <si>
    <t>CAPODASTRO ALICE PINZA A007D/BK-C</t>
  </si>
  <si>
    <t>ASE00115</t>
  </si>
  <si>
    <t>CAPODASTRO ALICE PINZA AWR01-C/BK</t>
  </si>
  <si>
    <t>ASE00116</t>
  </si>
  <si>
    <t>CAPODASTRO ALICE TIPO KYSER A007C/BK</t>
  </si>
  <si>
    <t>CAPODASTRO ALICE UNIVERSAL A007U/BK</t>
  </si>
  <si>
    <t>CAPOTRASTE DE UKELELE</t>
  </si>
  <si>
    <t>ASE00159</t>
  </si>
  <si>
    <t>CAPOTRASTE METALICO REF -B5</t>
  </si>
  <si>
    <t>CEJILLA CABEZA PARA GT CLAS SG01H</t>
  </si>
  <si>
    <t>CEJILLA PARA PUENTE GT CLASICA SG03BS</t>
  </si>
  <si>
    <t>CG /1a. .010 ACERO INOXIDABLE TIPO FOLK</t>
  </si>
  <si>
    <t>CG /1a. .010 ACERO NIQUELADO TIPO FOLK</t>
  </si>
  <si>
    <t>CG /2a. .014 ACERO INOXIDABLE TIPO FOLK</t>
  </si>
  <si>
    <t>CG /2a. .014 ACERO NIQUELADO TIPO FOLK</t>
  </si>
  <si>
    <t>CG /3a. .023 ACERO ENT. DORADO TIPO FOLK</t>
  </si>
  <si>
    <t>CG /4a. .030 ACERO ENT. DORADO TIPO FOLK</t>
  </si>
  <si>
    <t>CG /5a. .039 ACERO ENT. DORADO TIPO FOLK</t>
  </si>
  <si>
    <t>CG /6a. .047 ACERO ENT. DORADO</t>
  </si>
  <si>
    <t>CLAVIJERO ALICE AOS-020HV3P</t>
  </si>
  <si>
    <t>CLAVIJERO ALICE AOS-023V2P</t>
  </si>
  <si>
    <t>CLAVIJERO ALICE AOS-023V3P</t>
  </si>
  <si>
    <t>CLAVIJERO ALICE AOS-028RDP</t>
  </si>
  <si>
    <t>CLAVIJERO BAJO ELECTRICO K815BK 2+2</t>
  </si>
  <si>
    <t>CLAVIJERO EMPERNADO REF 316</t>
  </si>
  <si>
    <t xml:space="preserve">CLAVIJERO PARA BAJO DORADO </t>
  </si>
  <si>
    <t>COLOFONIA D ADDARIO VR200</t>
  </si>
  <si>
    <t>ASE00136</t>
  </si>
  <si>
    <t>COLOFONIA GREKO SW-3006</t>
  </si>
  <si>
    <t>ASE00137</t>
  </si>
  <si>
    <t>COLOFONIA GREKO SW-8007</t>
  </si>
  <si>
    <t>ASE00138</t>
  </si>
  <si>
    <t>COLOFONIA PRO</t>
  </si>
  <si>
    <t xml:space="preserve">COLOFONIA SENCILLA </t>
  </si>
  <si>
    <t>CONCERTINA GT. ELEC. AC. .008 NIQUEL</t>
  </si>
  <si>
    <t>CONCERTINA GT. ELEC. AC. .010</t>
  </si>
  <si>
    <t xml:space="preserve">CONCERTINA GT. ELEC. AC. .011 NIQUEL </t>
  </si>
  <si>
    <t>CONCERTINA GT. ELEC. AC. .012 NIQUEL</t>
  </si>
  <si>
    <t>CONCERTINA GT. ELEC. ENT. .024</t>
  </si>
  <si>
    <t>CONCERTINA GT. ELEC. ENT. .032</t>
  </si>
  <si>
    <t>CONCERTINA GT. ELEC. ENT. .042</t>
  </si>
  <si>
    <t>CONTROL PLASTICO TIPO STRATOCASTER BLANCO PN-S1T</t>
  </si>
  <si>
    <t>CONTROL PLASTICO TIPO STRATOCASTER BLANCO PN-S1V</t>
  </si>
  <si>
    <t>CONTROL PLASTICO TIPO VINTAGE PN-P3T</t>
  </si>
  <si>
    <t>CONTROL PLASTICO TIPO VINTAGE PN-P3V</t>
  </si>
  <si>
    <t>CONTROL TIPO LES PAUL NEGRO PN-P2</t>
  </si>
  <si>
    <t>CONVERTIDOR PLUG 1/4 A 3.5 (GRANDE A PEQUEÑO) METALICO AD-136M</t>
  </si>
  <si>
    <t>CONVERTIDOR PLUG DE 3,5 A 1/4 (PEQUEÑO A GRANDE) METALICA AD-163M</t>
  </si>
  <si>
    <t>CONVERTIDOR XLR A PLUG 1/4 PAD-3652</t>
  </si>
  <si>
    <t>CORREA ALICE ELECTRICA A040-S1</t>
  </si>
  <si>
    <t>ASE00157</t>
  </si>
  <si>
    <t>CORREA ALICE ELECTRICO SEGURIDAD A040-NI</t>
  </si>
  <si>
    <t>CORREA ALICE UKULELE A040-U2</t>
  </si>
  <si>
    <t>ASE00160</t>
  </si>
  <si>
    <t>CORREA ALICE UKULELE A040-U3</t>
  </si>
  <si>
    <t>ASE00163</t>
  </si>
  <si>
    <t>CORREA DE GUITARRA PORTAPUAS V COLORES</t>
  </si>
  <si>
    <t xml:space="preserve">CORREA ERNIE BALL 4037 P/GTR POLYPRO NEGRO        </t>
  </si>
  <si>
    <t>ASE00165</t>
  </si>
  <si>
    <t xml:space="preserve">CORREA ERNIE BALL 4040 P/GTR POLYPRO ROJO         </t>
  </si>
  <si>
    <t>ASE00166</t>
  </si>
  <si>
    <t xml:space="preserve">CORREA ERNIE BALL 4046 P/GTR POLYPRO GRIS         </t>
  </si>
  <si>
    <t>ASE00167</t>
  </si>
  <si>
    <t xml:space="preserve">CORREA ERNIE BALL 4047 P/GTR POLYPRO VINOTINTO    </t>
  </si>
  <si>
    <t>ASE00168</t>
  </si>
  <si>
    <t xml:space="preserve">CORREA ERNIE BALL 4048 P/GTR POLYPRO VERDE OLIVA  </t>
  </si>
  <si>
    <t>ASE00169</t>
  </si>
  <si>
    <t xml:space="preserve">CORREA ERNIE BALL 4049 P/GTR POLYPRO AZUL OSCURO  </t>
  </si>
  <si>
    <t>ASE00170</t>
  </si>
  <si>
    <t xml:space="preserve">CORREA FENDER P/GTR PICK NEGRO                    </t>
  </si>
  <si>
    <t>ASE00171</t>
  </si>
  <si>
    <t>CORREA GUITARRA ELECTRICA 2534</t>
  </si>
  <si>
    <t xml:space="preserve">CORREA MICHE P/GTR SIN PIN V/COLORES              </t>
  </si>
  <si>
    <t>correa para guitarra con cruz</t>
  </si>
  <si>
    <t>CORREA PARA GUITARRA p&amp;p</t>
  </si>
  <si>
    <t>CORREA PARA GUITARRA P&amp;P flores</t>
  </si>
  <si>
    <t>Correa para guitarra varios modelos coloridos</t>
  </si>
  <si>
    <t xml:space="preserve">CORREA TIPO FENDER </t>
  </si>
  <si>
    <t xml:space="preserve">CUADERNO PENTAGRAMADO GRANDE </t>
  </si>
  <si>
    <t>CUERDA ALICE AC130-H4</t>
  </si>
  <si>
    <t>CUERDA ALICE ACU200RQP-1</t>
  </si>
  <si>
    <t>CUERDA ALICE ACUSTICA AW430-023 3a</t>
  </si>
  <si>
    <t>CUERDA ALICE ACUSTICA AW430-032 4a</t>
  </si>
  <si>
    <t>CUERDA ALICE ACUSTICA o electrica ANP 015 2 o 3</t>
  </si>
  <si>
    <t>CUERDA ALICE ACUSTICA o electrica ANP-011 1 o 2</t>
  </si>
  <si>
    <t>CUERDA ALICE BAJO A608-M1</t>
  </si>
  <si>
    <t>ASE00185</t>
  </si>
  <si>
    <t>CUERDA ALICE BAJO A608-M2</t>
  </si>
  <si>
    <t>CUERDA ALICE BAJO A608-M3</t>
  </si>
  <si>
    <t>CUERDA ALICE BAJO A608-M4</t>
  </si>
  <si>
    <t>CUERDA ALICE ELECTRICA A508-024 4ta</t>
  </si>
  <si>
    <t>CUERDA ALICE ELECTRICA A508-032 5ta</t>
  </si>
  <si>
    <t>CUERDA ALICE ELECTRICA APL-008 1ra</t>
  </si>
  <si>
    <t>CUERDA ALICE ELECTRICA APL-009 1ra</t>
  </si>
  <si>
    <t>CUERDA ALICE ELECTRICA APL-011 acu 1 elec 2</t>
  </si>
  <si>
    <t>CUERDA ALICE ELECTRICA APL-016 acu 2 elec 3</t>
  </si>
  <si>
    <t>CUERDA ALICE NYLON  AC132H-5ta</t>
  </si>
  <si>
    <t>CUERDA ALICE NYLON AC107-N1</t>
  </si>
  <si>
    <t>CUERDA ALICE NYLON AC107-N4</t>
  </si>
  <si>
    <t>CUERDA ALICE NYLON AC107-N5</t>
  </si>
  <si>
    <t>CUERDA ALICE NYLON AC107-N6</t>
  </si>
  <si>
    <t>CUERDA ALICE NYLON AC130-H1ra</t>
  </si>
  <si>
    <t>CUERDA ALICE REQUINTO ACU200RQP-1ra</t>
  </si>
  <si>
    <t>CUERDA ALICE VIOLIN A705-1</t>
  </si>
  <si>
    <t>CUERDA ALICE VIOLIN A705-2</t>
  </si>
  <si>
    <t xml:space="preserve">CUERDA ALICE VIOLIN A705-3ra </t>
  </si>
  <si>
    <t>CUERDA ALICE VIOLIN A705-4ta</t>
  </si>
  <si>
    <t>CUERDA D ADDARIO J2701 (BOLSA POR 5 UNIDADES) 1ra</t>
  </si>
  <si>
    <t>CUERDA D ADDARIO J2702 (BOLSA POR 5 UNIDADES) 2da</t>
  </si>
  <si>
    <t>CUERDA D ADDARIO J2703 (BOLSA POR 5 UNIDADES) 3ra</t>
  </si>
  <si>
    <t>CUERDA D ADDARIO J2704 (BOLSA POR 5 UNIDADES) 4ta</t>
  </si>
  <si>
    <t>CUERDA LA BELLA C801 1ra</t>
  </si>
  <si>
    <t>CUERDA LA BELLA C804 4ta</t>
  </si>
  <si>
    <t>cuerda Requinto Inox 1ra</t>
  </si>
  <si>
    <t>cuerda Requinto Inox 2da</t>
  </si>
  <si>
    <t>cuerda Requinto Inox 3ra</t>
  </si>
  <si>
    <t>cuerda Requinto Inox 4ta</t>
  </si>
  <si>
    <t>cuerdas 1ra de violín</t>
  </si>
  <si>
    <t>cuerdas 2da violín</t>
  </si>
  <si>
    <t>CUERDAS ERNIE BALL EARTHWOOD 80/20 BRONCE EXTRA LIGHT P02006 (10-50) PARA GUITARRA ACUSTICA TIPO FOLK</t>
  </si>
  <si>
    <t>ASE00217</t>
  </si>
  <si>
    <t xml:space="preserve">CUERDAS UKEL FENDER NYLON TENOR CLEAR             </t>
  </si>
  <si>
    <t>ASE00218</t>
  </si>
  <si>
    <t>ECUALIZADOR CHERUB GT-3</t>
  </si>
  <si>
    <t>ECUALIZADOR LC-5</t>
  </si>
  <si>
    <t>ENCORDADO ALICE ACH80</t>
  </si>
  <si>
    <t>ASE00221</t>
  </si>
  <si>
    <t>ENCORDADO ALICE ACUSTICA A407C-SL</t>
  </si>
  <si>
    <t>ASE00222</t>
  </si>
  <si>
    <t>ENCORDADO ALICE AV10 vihuela</t>
  </si>
  <si>
    <t>ENCORDADO ALICE BAJO A606(4)-M</t>
  </si>
  <si>
    <t>ENCORDADO ALICE BAJO A606(6)-M</t>
  </si>
  <si>
    <t>ENCORDADO ALICE BAJO A608(5)-M</t>
  </si>
  <si>
    <t>ENCORDADO ALICE BANDOLA 12 CUERDAS  A1512</t>
  </si>
  <si>
    <t>ENCORDADO ALICE BANDOLA 16 CUERDAS A3016</t>
  </si>
  <si>
    <t>ENCORDADO ALICE CLASICA AC106H</t>
  </si>
  <si>
    <t>ENCORDADO ALICE CLASICA AWR19CJ-H</t>
  </si>
  <si>
    <t>ASE00230</t>
  </si>
  <si>
    <t>ENCORDADO ALICE CLASICA AWR19T-H</t>
  </si>
  <si>
    <t>ENCORDADO ALICE ELECTRICA A506-SL</t>
  </si>
  <si>
    <t>ENCORDADO ALICE ELECTRICA AE530-L</t>
  </si>
  <si>
    <t>ENCORDADO ALICE ELECTRICA AE530-SL</t>
  </si>
  <si>
    <t>ENCORDADO ALICE ELECTRICA AE536-XL (008)</t>
  </si>
  <si>
    <t>ENCORDADO ALICE ELECTRICA AWR588-L</t>
  </si>
  <si>
    <t>ENCORDADO ALICE GUITALELE ACU108</t>
  </si>
  <si>
    <t>ENCORDADO ALICE MANDOLINA AM08</t>
  </si>
  <si>
    <t>ENCORDADO ALICE REQUINTO ACU200RQP</t>
  </si>
  <si>
    <t>ENCORDADO ALICE TIPLE A5012</t>
  </si>
  <si>
    <t>ENCORDADO ALICE TIPLE REQUINTO A5012RQ</t>
  </si>
  <si>
    <t>ENCORDADO ALICE UKULELE AU046-S</t>
  </si>
  <si>
    <t>ENCORDADO ALICE UKULELE AU046-T</t>
  </si>
  <si>
    <t>ENCORDADO ALICE UKULELE AU047-J</t>
  </si>
  <si>
    <t>ENCORDADO ALICE VIOLA A903 4/4</t>
  </si>
  <si>
    <t>ENCORDADO ALICE VIOLIN A703 4/4</t>
  </si>
  <si>
    <t>ENCORDADO ALICE VIOLIN A704 4/4</t>
  </si>
  <si>
    <t>ENCORDADO ALICE VIOLIN A705 1/4</t>
  </si>
  <si>
    <t>ENCORDADO ALICE VIOLIN A705 1/8</t>
  </si>
  <si>
    <t>ENCORDADO ALICE VIOLIN AWR13</t>
  </si>
  <si>
    <t>ASE00248</t>
  </si>
  <si>
    <t>ENCORDADO AYSON GUITARRA ACERO MK10</t>
  </si>
  <si>
    <t>ASE00250</t>
  </si>
  <si>
    <t>ENCORDADO AYSON GUITARRA Nylon negro G1105B</t>
  </si>
  <si>
    <t>ENCORDADO AYSON GUITARRA nylon transparente G028</t>
  </si>
  <si>
    <t>encordado concertina inox 110</t>
  </si>
  <si>
    <t>ASE00253</t>
  </si>
  <si>
    <t>ENCORDADO concertina INOX 110 STANDARD TENSION</t>
  </si>
  <si>
    <t xml:space="preserve">Encordado concertina inox 130 </t>
  </si>
  <si>
    <t>ASE00255</t>
  </si>
  <si>
    <t>ENCORDADO concertina INOX 130 POLICHADA STANDARD TENSION</t>
  </si>
  <si>
    <t xml:space="preserve">Encordado concertina inox 140 requinto guitarra </t>
  </si>
  <si>
    <t>ASE00257</t>
  </si>
  <si>
    <t>ENCORDADO concertina INOX 140 RQ MASTER REQUINTO POLICHADA</t>
  </si>
  <si>
    <t>ENCORDADO COUNTRY GUITAR (ACERO INOXIDABLE, ENTORCHADOS DORADOS 3ø,4ø,5ø,6ø)</t>
  </si>
  <si>
    <t xml:space="preserve">ENCORDADO CUATRO (NYLON BLANCO) </t>
  </si>
  <si>
    <t xml:space="preserve">ENCORDADO CUATRO (NYLON NEGRO) </t>
  </si>
  <si>
    <t xml:space="preserve">ENCORDADO CUATRO (NYLON TRANSPARENTE) </t>
  </si>
  <si>
    <t>ENCORDADO D ADDARIO ACUSTICA EJ11</t>
  </si>
  <si>
    <t>ASE00263</t>
  </si>
  <si>
    <t>ENCORDADO D ADDARIO ACUSTICA EZ910</t>
  </si>
  <si>
    <t>ASE00264</t>
  </si>
  <si>
    <t>ENCORDADO D ADDARIO BAJO EXL160</t>
  </si>
  <si>
    <t>ENCORDADO D ADDARIO BAJO EXL160-5</t>
  </si>
  <si>
    <t>ENCORDADO D ADDARIO BAJO EXL170</t>
  </si>
  <si>
    <t>ENCORDADO D ADDARIO BRONCE 10-47 EJ15</t>
  </si>
  <si>
    <t>ENCORDADO D ADDARIO CLASICA EJ27H</t>
  </si>
  <si>
    <t>ASE00269</t>
  </si>
  <si>
    <t>ENCORDADO D ADDARIO CLASICA EJ27N</t>
  </si>
  <si>
    <t>ENCORDADO D ADDARIO ELECTRICA EXL110</t>
  </si>
  <si>
    <t>ASE00271</t>
  </si>
  <si>
    <t>ENCORDADO D ADDARIO ELECTRICA NYXL1052</t>
  </si>
  <si>
    <t>ENCORDADO D ADDARIO ELECTRICA XSE1149</t>
  </si>
  <si>
    <t>ENCORDADO D ADDARIO REQUINTO EJ94</t>
  </si>
  <si>
    <t>ENCORDADO D ADDARIO VIHUELA MV10C</t>
  </si>
  <si>
    <t>ASE00275</t>
  </si>
  <si>
    <t>ENCORDADO D ADDARIO VIHUELA MV10H</t>
  </si>
  <si>
    <t>ASE00276</t>
  </si>
  <si>
    <t>ENCORDADO D ADDARIO VIHUELA MV10N</t>
  </si>
  <si>
    <t>ENCORDADO ELIXIR 10-47 ACUSTICA BRONCE</t>
  </si>
  <si>
    <t>ENCORDADO ELIXIR 12052</t>
  </si>
  <si>
    <t>ENCORDADO ELIXIR 12152</t>
  </si>
  <si>
    <t>ENCORDADO GUITARRA ELÉCTRICA MOGE GE09-42</t>
  </si>
  <si>
    <t>ENCORDADO LA BELLA CLASICA 10PH</t>
  </si>
  <si>
    <t>ENCORDADO LA BELLA CLASICA 2001 HARD</t>
  </si>
  <si>
    <t>ENCORDADO LA BELLA CLASICA 2001 MEDIUM</t>
  </si>
  <si>
    <t>ASE00283</t>
  </si>
  <si>
    <t>ENCORDADO LA BELLA CLASICA 2001 MH</t>
  </si>
  <si>
    <t>ASE00284</t>
  </si>
  <si>
    <t>ENCORDADO LA BELLA CLASICA 500P</t>
  </si>
  <si>
    <t>ENCORDADO LA BELLA VM300 VIHUELA</t>
  </si>
  <si>
    <t>ASE00286</t>
  </si>
  <si>
    <t>ENCORDADO NYLON MOGE MG43</t>
  </si>
  <si>
    <t>ENCORDADO PARA BAJO 4 CUERDAS 4086</t>
  </si>
  <si>
    <t>ENCORDADO PARA VIOLIN ayson</t>
  </si>
  <si>
    <t>ENCORDADO TIPLE REQUINTO INOX (ACERO INOXIDABLE)</t>
  </si>
  <si>
    <t>ENCORDADO UKELELE CONCERTINA (JUEGO DE 4 CUERDAS NYLON BLANCO)</t>
  </si>
  <si>
    <t>ENCORDADO UKELELE CONCERTINA (JUEGO DE 4 CUERDAS NYLON TRANSPARENTE)</t>
  </si>
  <si>
    <t>ENCORDADO VIHUELA MEXICANA ( JUEGO 5 CUERDAS NYLON MASTER TRANSPARENTE)</t>
  </si>
  <si>
    <t>ENTORCHADO REDOBLANTE SW-1020</t>
  </si>
  <si>
    <t>ENTORCHADO REDOBLANTE SW-1220</t>
  </si>
  <si>
    <t>ENTORCHADO REDOBLANTE SW-1320</t>
  </si>
  <si>
    <t>ENTORCHADO REDOBLANTE SW-1420</t>
  </si>
  <si>
    <t>ENTORCHADO REDOBLANTE SW-1424</t>
  </si>
  <si>
    <t>ENTORCHADO REDOBLANTE SW-1440</t>
  </si>
  <si>
    <t>ESPUMA HAMILTON KBC10M-BK</t>
  </si>
  <si>
    <t>ESPUMA MICROFONO C-2</t>
  </si>
  <si>
    <t>ESPUMA PARA MICROFONO TDMF-05BK</t>
  </si>
  <si>
    <t>ESTUCHE ALICE PAJUELAS A010A-G</t>
  </si>
  <si>
    <t>ESTUCHE CLASICA PH-C10</t>
  </si>
  <si>
    <t>ESTUCHE DUNLOP PAJUELAS 5001</t>
  </si>
  <si>
    <t>ESTUCHE DURO FOLCK PH-A10</t>
  </si>
  <si>
    <t>ESTUCHE DURO REQUINTO PH-R10</t>
  </si>
  <si>
    <t>ESTUCHE FOLCK PH-A10</t>
  </si>
  <si>
    <t>ESTUCHE KZ AUDIFONOS OVAL</t>
  </si>
  <si>
    <t>ESTUCHE KZ AUDIFONOS PU</t>
  </si>
  <si>
    <t>ASE00299</t>
  </si>
  <si>
    <t>ESTUCHE KZ AUDIFONOS SQUARE</t>
  </si>
  <si>
    <t xml:space="preserve">estuche kz color gris </t>
  </si>
  <si>
    <t>estuche kz color negro rojo</t>
  </si>
  <si>
    <t xml:space="preserve">Estuche lona cuatro </t>
  </si>
  <si>
    <t>ASE00303</t>
  </si>
  <si>
    <t>estuche lona Guitarra 3/4</t>
  </si>
  <si>
    <t>ASE00305</t>
  </si>
  <si>
    <t>estuche lona Guitarra 4/4</t>
  </si>
  <si>
    <t>ASE00306</t>
  </si>
  <si>
    <t>ASE00307</t>
  </si>
  <si>
    <t>estuche lona Guitarra 4/4 con logo</t>
  </si>
  <si>
    <t>ASE00308</t>
  </si>
  <si>
    <t>estuche lona Guitarra con logo</t>
  </si>
  <si>
    <t>ASE00309</t>
  </si>
  <si>
    <t>estuche lona Guitarra infantil</t>
  </si>
  <si>
    <t>ASE00310</t>
  </si>
  <si>
    <t>estuche lona Guitarra Junior</t>
  </si>
  <si>
    <t>ASE00311</t>
  </si>
  <si>
    <t>estuche LONA MARCANTE 3/4</t>
  </si>
  <si>
    <t>estuche LONA MARCANTE 4/4</t>
  </si>
  <si>
    <t>ASE00313</t>
  </si>
  <si>
    <t>Estuche LONA MORRAL guitarra junior punterita</t>
  </si>
  <si>
    <t>estuche LONA MORRAL ukelele concierto</t>
  </si>
  <si>
    <t>estuche LONA MORRAL ukelele soprano</t>
  </si>
  <si>
    <t>estuche semiduro  requinto guitarra</t>
  </si>
  <si>
    <t>ASE00317</t>
  </si>
  <si>
    <t>ASE00318</t>
  </si>
  <si>
    <t>Estuche semiduro bajo</t>
  </si>
  <si>
    <t>Estuche semiduro bajo 5C</t>
  </si>
  <si>
    <t>estuche semiduro caja vallenata</t>
  </si>
  <si>
    <t>ASE00323</t>
  </si>
  <si>
    <t>estuche semiduro cuatro</t>
  </si>
  <si>
    <t>ASE00325</t>
  </si>
  <si>
    <t>Estuche semiduro cuerotex guitarra</t>
  </si>
  <si>
    <t>ASE00326</t>
  </si>
  <si>
    <t>estuche semiduro Cuerotex guitarra</t>
  </si>
  <si>
    <t>ASE00329</t>
  </si>
  <si>
    <t>estuche semiduro Cuerotex requinto</t>
  </si>
  <si>
    <t>ASE00330</t>
  </si>
  <si>
    <t>Estuche semiduro guitarra acustica</t>
  </si>
  <si>
    <t>ASE00331</t>
  </si>
  <si>
    <t>ASE00333</t>
  </si>
  <si>
    <t>Estuche semiduro guitarra electrica</t>
  </si>
  <si>
    <t>ASE00334</t>
  </si>
  <si>
    <t>ASE00336</t>
  </si>
  <si>
    <t>Estuche semiduro guitarra TIPO FOLK</t>
  </si>
  <si>
    <t>ASE00337</t>
  </si>
  <si>
    <t>Estuche semiduro guitarra tipo folk</t>
  </si>
  <si>
    <t>ASE00339</t>
  </si>
  <si>
    <t>ESTUCHE SEMIDURO ORGANETA 5/8</t>
  </si>
  <si>
    <t>ASE00341</t>
  </si>
  <si>
    <t>ESTUCHE SEMIDURO ORGANETA 5/8 casiotone Bordado</t>
  </si>
  <si>
    <t>ESTUCHE SEMIDURO ORGANETA 5/8 casiotone plancha</t>
  </si>
  <si>
    <t>Estuche semiduro requinto guitarra</t>
  </si>
  <si>
    <t>ASE00344</t>
  </si>
  <si>
    <t>estuche semiduro teclado 5/8</t>
  </si>
  <si>
    <t>ASE00345</t>
  </si>
  <si>
    <t>ASE00346</t>
  </si>
  <si>
    <t>estuche semiduro teclado 5/8 CASIOTONE</t>
  </si>
  <si>
    <t>ASE00348</t>
  </si>
  <si>
    <t>estuche semiduro teclado 7/8</t>
  </si>
  <si>
    <t>estuche semiduro teclado 7/8 Krusbel K90</t>
  </si>
  <si>
    <t>ASE00350</t>
  </si>
  <si>
    <t xml:space="preserve">estuche semiduro tiple </t>
  </si>
  <si>
    <t>ASE00351</t>
  </si>
  <si>
    <t>estuche semiduro tiple guitarra Plancha</t>
  </si>
  <si>
    <t>ASE00352</t>
  </si>
  <si>
    <t>estuche semiduro tiple requinto</t>
  </si>
  <si>
    <t>ASE00353</t>
  </si>
  <si>
    <t>Estuche semiduro TROMPETA Super abullonada</t>
  </si>
  <si>
    <t>ASE00355</t>
  </si>
  <si>
    <t>estuche semiduro ukelele concierto</t>
  </si>
  <si>
    <t>estuche semiduro ukelele tenor</t>
  </si>
  <si>
    <t>ASE00358</t>
  </si>
  <si>
    <t>ASE00359</t>
  </si>
  <si>
    <t>estuche ukelele concierto lona</t>
  </si>
  <si>
    <t>estuche ukelele soprano lona</t>
  </si>
  <si>
    <t>ASE00361</t>
  </si>
  <si>
    <t>ESTUCHE VIOLIN FCG200 4/4</t>
  </si>
  <si>
    <t>ESTUCHE VIOLIN TELA OXFOR 4/4</t>
  </si>
  <si>
    <t>ASE00362</t>
  </si>
  <si>
    <t>ESTUCHE VIOLIN VCB01 4/4</t>
  </si>
  <si>
    <t>ASE00363</t>
  </si>
  <si>
    <t>estuches caja Vallenata lona</t>
  </si>
  <si>
    <t>EXTENSIÓN PARA BASE PARA PIANO JYC-D-X5 NUEVA</t>
  </si>
  <si>
    <t>ASE00366</t>
  </si>
  <si>
    <t>GRASA CORCHO PLAYERS CG-SJ100 clarinete,saxo</t>
  </si>
  <si>
    <t>GRASA CORCHO RICO RCRKGR Grasa para el corcho de los instrumentos de cuerda (maderas)</t>
  </si>
  <si>
    <t>GUARDAUÑA PARA GT ACUS NEGRO AGP1</t>
  </si>
  <si>
    <t>Huevos SHACKER</t>
  </si>
  <si>
    <t>IN EAR KZ EDX PRO CON MICROFONO</t>
  </si>
  <si>
    <t>IN EAR KZ EDX PRO SIN MICROFONO</t>
  </si>
  <si>
    <t>JACK  ELECTRICA EG-MP05</t>
  </si>
  <si>
    <t>JACK PIN AG-JK01</t>
  </si>
  <si>
    <t>LIMPIADOR DUNLOP GUITARRA 6574 madera</t>
  </si>
  <si>
    <t>ASE00374</t>
  </si>
  <si>
    <t>LIMPIADOR DUNLOP VIOLIN 6592</t>
  </si>
  <si>
    <t>ASE00375</t>
  </si>
  <si>
    <t>LIMPIADORES - PAÑOS</t>
  </si>
  <si>
    <t>LLAVE BATERIA No 1</t>
  </si>
  <si>
    <t>LLAVE BATERIA No 3</t>
  </si>
  <si>
    <t xml:space="preserve">MANIJA FENDER AJUSTA CUERDAS                      </t>
  </si>
  <si>
    <t xml:space="preserve">MANIJA MILENIUM AJUSTA CUERDAS                    </t>
  </si>
  <si>
    <t>Mazos para bombo fibra quimica</t>
  </si>
  <si>
    <t>Mazos para bombo lana</t>
  </si>
  <si>
    <t>MICROAFINADOR VIOLA CR 4/4</t>
  </si>
  <si>
    <t>MICROAFINADOR VIOLIN 600 CR 4/4</t>
  </si>
  <si>
    <t>MICROAFINADOR VIOLIN 601 BK 4/4</t>
  </si>
  <si>
    <t>MICROAFINADOR VIOLIN CR 4/4</t>
  </si>
  <si>
    <t>MICRÓFONO BETA 58A</t>
  </si>
  <si>
    <t>ASE00387</t>
  </si>
  <si>
    <t>MICROFONO CHERUB GT-3</t>
  </si>
  <si>
    <t>ASE00388</t>
  </si>
  <si>
    <t>MICROFONO GUITARRA LC-5</t>
  </si>
  <si>
    <t xml:space="preserve">MICROFONO INALAMBRICO UHF </t>
  </si>
  <si>
    <t>MICROFONO SHURE BETA57A ALAMBRICO</t>
  </si>
  <si>
    <t>MICROFONO SHURE SV100</t>
  </si>
  <si>
    <t xml:space="preserve">PAJUELA ALICE AP12-G CAJA 12 UNIDADES </t>
  </si>
  <si>
    <t xml:space="preserve">PAJUELA ALICE AP-180A CAJA 180 UNIDADES </t>
  </si>
  <si>
    <t>PAJUELAS PLANET WAVES 7DBK7-10 (BOLSA POR 10 UNIDADES)</t>
  </si>
  <si>
    <t>ASE00396</t>
  </si>
  <si>
    <t>PAÑO CORTO GRIS</t>
  </si>
  <si>
    <t>PAÑOS PARA LIMPIAR INSTRUMENTOS COLORES</t>
  </si>
  <si>
    <t>PEDAL JOYO AMERICAN SOUND JF-14</t>
  </si>
  <si>
    <t>PEDAL JOYO CLASSIC FLANGER JF-07</t>
  </si>
  <si>
    <t>PEDAL SUSTAIN TECLADO</t>
  </si>
  <si>
    <t xml:space="preserve">PEDAL TECLADO CASIO SP-20 SUSTAIN                 </t>
  </si>
  <si>
    <t>ASE00402</t>
  </si>
  <si>
    <t>PIAÑA HAMILTON KBC6M</t>
  </si>
  <si>
    <t>PIN LUJO GUITARRA SP001 CR</t>
  </si>
  <si>
    <t>pines de lujo dorado puente folck x6</t>
  </si>
  <si>
    <t>Pines para correa negros + tornillos</t>
  </si>
  <si>
    <t>Pines para correa plateados  + tornillos</t>
  </si>
  <si>
    <t>ASE00407</t>
  </si>
  <si>
    <t>POLISH CONCERTINA LIMPIADOR PARA INSTRUMENTOS 250 cc</t>
  </si>
  <si>
    <t>PORTA ARMONICA T10-H</t>
  </si>
  <si>
    <t>PORTA ARMONICA T24-H</t>
  </si>
  <si>
    <t>PROTECTOR ALICE A025A(W) NEGRO</t>
  </si>
  <si>
    <t>PROTECTOR ALICE A025X (W) TRANSPARENTE</t>
  </si>
  <si>
    <t>PROTECTOR GUARDA UÑAS</t>
  </si>
  <si>
    <t>PUENTE INFERIOR FOLCK A026C/GY</t>
  </si>
  <si>
    <t>PUENTE SUPERIOR BAJO 4C A029A</t>
  </si>
  <si>
    <t>PUENTE SUPERIOR BAJO 5C A029E</t>
  </si>
  <si>
    <t>PUENTE SUPERIOR BAJO 6C A029F</t>
  </si>
  <si>
    <t>PUENTE SUPERIOR ELECTRICA A028A</t>
  </si>
  <si>
    <t>PUENTE SUPERIOR FOLCK A026B/GY</t>
  </si>
  <si>
    <t>PUENTE SUPERIOR FOLCK A026B/IVY</t>
  </si>
  <si>
    <t>PUENTE VIOLA VABR101 DE 15</t>
  </si>
  <si>
    <t>PUENTE VIOLA VABR101 DE 16</t>
  </si>
  <si>
    <t>PUENTE VIOLIN VBR201 1/16</t>
  </si>
  <si>
    <t>PUENTE VIOLIN VBR201 1/2</t>
  </si>
  <si>
    <t>PUENTE VIOLIN VBR201 1/4</t>
  </si>
  <si>
    <t>PUENTE VIOLIN VBR201 1/8</t>
  </si>
  <si>
    <t>PUENTE VIOLIN VBR201 3/4</t>
  </si>
  <si>
    <t>ASE00422</t>
  </si>
  <si>
    <t>PUENTE VIOLIN VBR201 4/4</t>
  </si>
  <si>
    <t>SET 50 PUAS PARA GUITARRA ALICE</t>
  </si>
  <si>
    <t>SET ACCESORIOS PARA VIOLIN</t>
  </si>
  <si>
    <t>SET ACCESORIOS VIOLIN E-02</t>
  </si>
  <si>
    <t>SET ACCESORIOS VIOLIN JA-01</t>
  </si>
  <si>
    <t>SHACKER CROMADO</t>
  </si>
  <si>
    <t>SILLA BATERIA</t>
  </si>
  <si>
    <t>SILLA BATERIA AYSON JYC - D - N4C</t>
  </si>
  <si>
    <t>SILLA TECLADO BOSS Q-90</t>
  </si>
  <si>
    <t>ASE00451</t>
  </si>
  <si>
    <t xml:space="preserve">SISTEMA INALAMBRICO A8 </t>
  </si>
  <si>
    <t>SOPORTE 7 GUITARRAS GUITTO GGS-11</t>
  </si>
  <si>
    <t>SOPORTE CORTO DE PANEL RANURADO PARA GUITARRA REF JYC-J-G2</t>
  </si>
  <si>
    <t>SOPORTE PARED GUITARRA JYC-J-G5</t>
  </si>
  <si>
    <t>SORDINA ALICE GUITARRA CLASICA A048A</t>
  </si>
  <si>
    <t>SORDINA EN CAUCHO PARA VIOLIN 4/4 RM (GRANDE)</t>
  </si>
  <si>
    <t>SORDINA GUITARRA FOLCK ALICE A048</t>
  </si>
  <si>
    <t>STAND MICROFONO TAKSTAR ART-2010 BOOM</t>
  </si>
  <si>
    <t xml:space="preserve">STAND PIANO AUDIOKING DF036 DOBLE BRAZO NEGRO     </t>
  </si>
  <si>
    <t xml:space="preserve">TIRACUERDAS VIOLIN  VTP00 3/4                                                                                                                                                                                                                                 </t>
  </si>
  <si>
    <t>TIRACUERDAS VIOLIN VTP00 4/4</t>
  </si>
  <si>
    <t>TIRACUERDAS VIOLIN VTP10 4/4</t>
  </si>
  <si>
    <t>UNION CABLE DE 1/4 A 1/4 AD360M</t>
  </si>
  <si>
    <t>estuche LONA cuatro</t>
  </si>
  <si>
    <t>estuche LONA electrica</t>
  </si>
  <si>
    <t>LONA MORRAL ukelele concierto</t>
  </si>
  <si>
    <t>AMPLIFICADOR MARCA BELCAT 15 W PARA BAJO REFERENCIA BS-15</t>
  </si>
  <si>
    <t>BAJO ELECTRICO DEVISER LB35 3TS</t>
  </si>
  <si>
    <t>BAJO ELECTRICO DEVISER LB35 MBL</t>
  </si>
  <si>
    <t>BATERIA ADULTO AYSON</t>
  </si>
  <si>
    <t>BONGO BOSS JBH-12</t>
  </si>
  <si>
    <t>CAJA CHINA G6</t>
  </si>
  <si>
    <t>CELLO GREKO CB310 4/4</t>
  </si>
  <si>
    <t>CIEN PIES Grande 45cm</t>
  </si>
  <si>
    <t>CIEN PIES mediano 30cm</t>
  </si>
  <si>
    <t>CLARINETE CONDUCTOR M1103B</t>
  </si>
  <si>
    <t xml:space="preserve">COMBO GUITARRA ELECTRICA AYSON TL roja </t>
  </si>
  <si>
    <t>Conico #2</t>
  </si>
  <si>
    <t>escala #2</t>
  </si>
  <si>
    <t>esterillas grande</t>
  </si>
  <si>
    <t>FLAUTA SOPRANO GREKO AZUL</t>
  </si>
  <si>
    <t>FLAUTA SOPRANO GREKO PURPURA</t>
  </si>
  <si>
    <t>guira #6</t>
  </si>
  <si>
    <t>Guira profesional  #10</t>
  </si>
  <si>
    <t>Guiro Destapado #0</t>
  </si>
  <si>
    <t>Guiro Destapado #1</t>
  </si>
  <si>
    <t>Guiro Destapado #2</t>
  </si>
  <si>
    <t>Guiro Destapado #3</t>
  </si>
  <si>
    <t>Guiro Destapado #4</t>
  </si>
  <si>
    <t>Guiro Destapado #5</t>
  </si>
  <si>
    <t>guiro guache</t>
  </si>
  <si>
    <t>guiro merengue  #7</t>
  </si>
  <si>
    <t>Guiro salsero #8</t>
  </si>
  <si>
    <t>GUITARRA 12 CUERDAS</t>
  </si>
  <si>
    <t xml:space="preserve"> forro semiduro</t>
  </si>
  <si>
    <t>GUITARRA ELECTRICA DEVISER LG1 &amp; 3TS</t>
  </si>
  <si>
    <t>GUITARRA ELECTRICA DEVISER LG2S 3TS</t>
  </si>
  <si>
    <t>GUITARRA ELECTRICA DEVISER LG2S MBL</t>
  </si>
  <si>
    <t>GUITARRA ELECTRICA DEVISER LG2S PI</t>
  </si>
  <si>
    <t>GUITARRA ELECTRICA DEVISER L-TE BL</t>
  </si>
  <si>
    <t>GUITARRA ELECTRO AC PINO GD M GB1</t>
  </si>
  <si>
    <t>GUITARRA ESTUDIO 3/4 boquete zurda</t>
  </si>
  <si>
    <t>guitarra juguete</t>
  </si>
  <si>
    <t>GUITARRA PINO CIPRES BOQUETE zurda</t>
  </si>
  <si>
    <t>GUITARRA YAMAHA C40</t>
  </si>
  <si>
    <t>Kazoo</t>
  </si>
  <si>
    <t>LIRA INGLESA TENOR</t>
  </si>
  <si>
    <t>maracas #5 natural</t>
  </si>
  <si>
    <t xml:space="preserve">maracas salseras #5 colores </t>
  </si>
  <si>
    <t>MARACAS XS MRK-2BK</t>
  </si>
  <si>
    <t>marrana grande</t>
  </si>
  <si>
    <t>marranas mediana</t>
  </si>
  <si>
    <t>marranas pequeña</t>
  </si>
  <si>
    <t>MELODICA AYSON SEMIDURO</t>
  </si>
  <si>
    <t>REDOBLANTE BOSS METAL PICCOLO SD-806</t>
  </si>
  <si>
    <t>tambor #1</t>
  </si>
  <si>
    <t>tambor #2</t>
  </si>
  <si>
    <t>tambor #3</t>
  </si>
  <si>
    <t>tambor #4</t>
  </si>
  <si>
    <t>tambor #5</t>
  </si>
  <si>
    <t>tambor #6</t>
  </si>
  <si>
    <t>tambor #7</t>
  </si>
  <si>
    <t>tambor #8</t>
  </si>
  <si>
    <t xml:space="preserve">TECLADO MEDELI MK49 </t>
  </si>
  <si>
    <t>tenedor grande fino</t>
  </si>
  <si>
    <t>tenedor mediano</t>
  </si>
  <si>
    <t>tenedor pequeño</t>
  </si>
  <si>
    <t>tenedro mediano fino</t>
  </si>
  <si>
    <t>TIPLE REQUINTO EN CEDRO</t>
  </si>
  <si>
    <t>torpedo #2</t>
  </si>
  <si>
    <t>UKULELE GREKO CONCIERTO HU30-23</t>
  </si>
  <si>
    <t>UKULELE GREKO CONCIERTO KU211C-23SB</t>
  </si>
  <si>
    <t>UKULELE GREKO CONCIERTO KU211C-23TB</t>
  </si>
  <si>
    <t>UKULELE GREKO CONCIERTO KU500-23</t>
  </si>
  <si>
    <t>UKULELE GREKO CONCIERTO KU502-23</t>
  </si>
  <si>
    <t>UKULELE GREKO CONSIERTO KU211C-23BL</t>
  </si>
  <si>
    <t xml:space="preserve">UKULELE GREKO MUK-26 TENOR </t>
  </si>
  <si>
    <t>UKULELE GREKO PIÑA KU20P</t>
  </si>
  <si>
    <t>UKULELE GREKO SOPRANO KU100-BL</t>
  </si>
  <si>
    <t>UKULELE GREKO SOPRANO KU100-N</t>
  </si>
  <si>
    <t>UKULELE GREKO SOPRANO KU100S-SB</t>
  </si>
  <si>
    <t>UKULELE GREKO SOPRANO KU100-WR</t>
  </si>
  <si>
    <t>UKULELE GREKO SOPRANO MUK-21D</t>
  </si>
  <si>
    <t>UKULELE HANDEL TENOR HU-60/26</t>
  </si>
  <si>
    <t>UKULELE TENOR ANDALUCIA</t>
  </si>
  <si>
    <t>VIOLÍN Brillante  AYSON 1/2</t>
  </si>
  <si>
    <t>VIOLÍN Brillante  AYSON 1/4</t>
  </si>
  <si>
    <t>VIOLÍN Brillante AYSON 1/4</t>
  </si>
  <si>
    <t xml:space="preserve">ALMOHADILLA PARA VIOLIN 1/2 </t>
  </si>
  <si>
    <t>ANILLO ALICE AWR-N (XL)</t>
  </si>
  <si>
    <t>AUDIFONOS KZ MERGA OFC CABLE VERSION</t>
  </si>
  <si>
    <t>CABLE KIRLIN 6M MICROFONO MP-481PR BK</t>
  </si>
  <si>
    <t>CABLE KIRLIN 6MT IWCC201PN BYA</t>
  </si>
  <si>
    <t>CABLE KIRLIN 6MT IWCC201PN GRA</t>
  </si>
  <si>
    <t>CABLE KIRLIN 6MT IWCC-201PN ORA</t>
  </si>
  <si>
    <t>CABLE KIRLIN 6MT IWCC-201PN PUA</t>
  </si>
  <si>
    <t>CABLE KIRLIN 6MT IWCX-261PNQ  BK</t>
  </si>
  <si>
    <t>CABLE KIRLIN 6MT MICROFONO MP-482PR BK</t>
  </si>
  <si>
    <t>CABLE KIRLIN 6MT MICROFONO MW-470 BKB</t>
  </si>
  <si>
    <t>CLAVIJERO UKULELE B-110 2+2</t>
  </si>
  <si>
    <t>COLOFONIA D ADDARIO OSCURA VR300</t>
  </si>
  <si>
    <t>COLOFONIA GREKO SW-6005</t>
  </si>
  <si>
    <t>cordon correa ukelkele varios colores</t>
  </si>
  <si>
    <t>CORREA ALICE ELECTRICA A040-C8</t>
  </si>
  <si>
    <t>CORREA PARA BAJO P&amp;P</t>
  </si>
  <si>
    <t>CUERDA ALICE VIOLIN A705-2 (BOLSA POR 10 UNIDADES)</t>
  </si>
  <si>
    <t>ecualizador fishman</t>
  </si>
  <si>
    <t xml:space="preserve">ecualizador para ukelele </t>
  </si>
  <si>
    <t>ENCORDADO ALICE ACUSTICA 12 CUERDAS A2012</t>
  </si>
  <si>
    <t>ENCORDADO ALICE VIOLIN A705 1/2</t>
  </si>
  <si>
    <t>ENCORDADO ALICE VIOLIN A705 4/4</t>
  </si>
  <si>
    <t>ENCORDADO D ADDARIO BAJO EXL170-5</t>
  </si>
  <si>
    <t>ENCORDADO D ADDARIO CLASICA NYLON EJ27H</t>
  </si>
  <si>
    <t>ENCORDADO UKULELE U-US04</t>
  </si>
  <si>
    <t>LIMPIADOR DIAPASON G-LO-KIT</t>
  </si>
  <si>
    <t>LLAVE BATERIA No 2</t>
  </si>
  <si>
    <t>MICROAFINADOR VIOLIN 600CR 1/2</t>
  </si>
  <si>
    <t>MICROAFINADOR VIOLIN 601A BK 4/4</t>
  </si>
  <si>
    <t>MICROFONO CHERUB GB-1</t>
  </si>
  <si>
    <t>microfono shure pga58</t>
  </si>
  <si>
    <t>microfono shure sm57</t>
  </si>
  <si>
    <t>microfono shure sm58</t>
  </si>
  <si>
    <t>microfono shure sm58 II inalambricos</t>
  </si>
  <si>
    <t>PAJUELA ALICE AP-100G (CAJA POR 100 UNIDADES)</t>
  </si>
  <si>
    <t>PEDAL SUSTAIN LENGÜETA JOYO JSP-10</t>
  </si>
  <si>
    <t>PEDAL SUSTAIN LENGUETA TB-100</t>
  </si>
  <si>
    <t>PEDALERA NUX MG-300 MKII</t>
  </si>
  <si>
    <t>PINES AYSON plateado BOTON PARA CORREA</t>
  </si>
  <si>
    <t>PROTECTOR BOQUILLA RICO RMP01B (BOLSA POR 5 UNIDADES)</t>
  </si>
  <si>
    <t>PROTECTOR BOQUILLA RICO RMP01C (BOLSA POR 5 UNIDADES)</t>
  </si>
  <si>
    <t>SILLA PARA TECLADO JYC-D-XA</t>
  </si>
  <si>
    <t>Sistema de trasmision inalambrico</t>
  </si>
  <si>
    <t>soporte corto ranurado</t>
  </si>
  <si>
    <t>soporte largo ranurado</t>
  </si>
  <si>
    <t>TABLERO 3 SENCILLOS ST3S BK</t>
  </si>
  <si>
    <t>TABLERO 3 SENCILLOS ST3S PERLADO</t>
  </si>
  <si>
    <t>TABLERO 3 SENCILLOS ST3S WH</t>
  </si>
  <si>
    <t>TABLERO CON 3 MICROFONOS ST-3S PERLADO</t>
  </si>
  <si>
    <t>ZAPATILLAS CLARINETE LUCIER CLR-LC01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</si>
</sst>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\ #,##0;[Red]\-&quot;$&quot;\ #,##0"/>
    <numFmt numFmtId="44" formatCode="_-&quot;$&quot;\ * #,##0.00_-;\-&quot;$&quot;\ * #,##0.00_-;_-&quot;$&quot;\ * &quot;-&quot;??_-;_-@_-"/>
    <numFmt numFmtId="165" formatCode="_-&quot;$&quot;\ * #,##0_-;\-&quot;$&quot;\ * #,##0_-;_-&quot;$&quot;\ * &quot;-&quot;??_-;_-@_-"/>
    <numFmt numFmtId="166" formatCode="_-[$$-240A]\ * #,##0_-;\-[$$-240A]\ * #,##0_-;_-[$$-240A]\ 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8"/>
      <name val="Calibri"/>
      <family val="2"/>
    </font>
    <font>
      <sz val="10"/>
      <color rgb="FF000000"/>
      <name val="Verdana"/>
      <family val="2"/>
    </font>
    <font>
      <sz val="11"/>
      <color theme="7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 applyAlignment="1" applyProtection="1">
      <alignment wrapText="1"/>
      <protection locked="0"/>
    </xf>
    <xf numFmtId="0" fontId="3" fillId="2" borderId="1" xfId="0" applyFont="1" applyFill="1" applyBorder="1" applyAlignment="1" applyProtection="1">
      <alignment wrapText="1"/>
      <protection locked="0"/>
    </xf>
    <xf numFmtId="0" fontId="0" fillId="0" borderId="1" xfId="0" applyFill="1" applyBorder="1" applyAlignment="1" applyProtection="1">
      <alignment wrapText="1"/>
      <protection locked="0"/>
    </xf>
    <xf numFmtId="0" fontId="0" fillId="0" borderId="2" xfId="0" applyBorder="1"/>
    <xf numFmtId="0" fontId="0" fillId="0" borderId="2" xfId="0" applyBorder="1" applyAlignment="1">
      <alignment wrapText="1"/>
    </xf>
    <xf numFmtId="166" fontId="2" fillId="2" borderId="2" xfId="0" applyNumberFormat="1" applyFont="1" applyFill="1" applyBorder="1"/>
    <xf numFmtId="0" fontId="0" fillId="3" borderId="2" xfId="0" applyFill="1" applyBorder="1"/>
    <xf numFmtId="0" fontId="0" fillId="4" borderId="2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166" fontId="2" fillId="2" borderId="1" xfId="0" applyNumberFormat="1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 applyAlignment="1">
      <alignment horizontal="right"/>
    </xf>
    <xf numFmtId="165" fontId="0" fillId="0" borderId="1" xfId="1" applyNumberFormat="1" applyFont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0" borderId="0" xfId="0" applyBorder="1"/>
    <xf numFmtId="0" fontId="0" fillId="0" borderId="3" xfId="0" applyBorder="1"/>
    <xf numFmtId="6" fontId="3" fillId="2" borderId="1" xfId="0" applyNumberFormat="1" applyFont="1" applyFill="1" applyBorder="1"/>
    <xf numFmtId="0" fontId="0" fillId="0" borderId="1" xfId="0" applyFill="1" applyBorder="1"/>
    <xf numFmtId="6" fontId="0" fillId="0" borderId="1" xfId="0" applyNumberFormat="1" applyFill="1" applyBorder="1"/>
    <xf numFmtId="0" fontId="0" fillId="3" borderId="4" xfId="0" applyFill="1" applyBorder="1"/>
    <xf numFmtId="0" fontId="0" fillId="4" borderId="4" xfId="0" applyFill="1" applyBorder="1"/>
    <xf numFmtId="165" fontId="0" fillId="0" borderId="1" xfId="1" applyNumberFormat="1" applyFont="1" applyFill="1" applyBorder="1"/>
    <xf numFmtId="0" fontId="4" fillId="5" borderId="1" xfId="0" applyFont="1" applyFill="1" applyBorder="1" applyAlignment="1">
      <alignment vertical="top" wrapText="1"/>
    </xf>
    <xf numFmtId="0" fontId="5" fillId="5" borderId="1" xfId="0" applyFont="1" applyFill="1" applyBorder="1"/>
    <xf numFmtId="165" fontId="0" fillId="0" borderId="0" xfId="1" applyNumberFormat="1" applyFont="1" applyBorder="1"/>
    <xf numFmtId="0" fontId="0" fillId="0" borderId="3" xfId="0" applyBorder="1" applyAlignment="1">
      <alignment wrapText="1"/>
    </xf>
    <xf numFmtId="166" fontId="2" fillId="2" borderId="3" xfId="0" applyNumberFormat="1" applyFont="1" applyFill="1" applyBorder="1"/>
    <xf numFmtId="0" fontId="0" fillId="3" borderId="3" xfId="0" applyFill="1" applyBorder="1"/>
    <xf numFmtId="0" fontId="0" fillId="0" borderId="4" xfId="0" applyBorder="1"/>
    <xf numFmtId="0" fontId="0" fillId="0" borderId="4" xfId="0" applyBorder="1" applyAlignment="1">
      <alignment wrapText="1"/>
    </xf>
    <xf numFmtId="166" fontId="2" fillId="2" borderId="4" xfId="0" applyNumberFormat="1" applyFont="1" applyFill="1" applyBorder="1"/>
    <xf numFmtId="166" fontId="0" fillId="0" borderId="0" xfId="0" applyNumberFormat="1"/>
    <xf numFmtId="0" fontId="3" fillId="2" borderId="1" xfId="0" applyFont="1" applyFill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0" borderId="5" xfId="0" applyBorder="1"/>
    <xf numFmtId="0" fontId="0" fillId="5" borderId="5" xfId="0" applyFill="1" applyBorder="1"/>
    <xf numFmtId="0" fontId="0" fillId="0" borderId="5" xfId="0" applyFill="1" applyBorder="1"/>
    <xf numFmtId="0" fontId="0" fillId="5" borderId="5" xfId="0" applyFill="1" applyBorder="1" applyAlignment="1">
      <alignment horizontal="right"/>
    </xf>
    <xf numFmtId="0" fontId="0" fillId="0" borderId="1" xfId="0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0" fillId="0" borderId="6" xfId="0" applyBorder="1"/>
    <xf numFmtId="166" fontId="2" fillId="2" borderId="0" xfId="0" applyNumberFormat="1" applyFont="1" applyFill="1" applyBorder="1"/>
    <xf numFmtId="0" fontId="0" fillId="5" borderId="3" xfId="0" applyFill="1" applyBorder="1" applyAlignment="1">
      <alignment horizontal="right"/>
    </xf>
    <xf numFmtId="0" fontId="0" fillId="4" borderId="3" xfId="0" applyFill="1" applyBorder="1"/>
    <xf numFmtId="0" fontId="0" fillId="0" borderId="0" xfId="0" applyFill="1" applyBorder="1"/>
    <xf numFmtId="0" fontId="0" fillId="0" borderId="7" xfId="0" applyBorder="1"/>
    <xf numFmtId="0" fontId="0" fillId="0" borderId="0" xfId="0" applyBorder="1" applyAlignment="1">
      <alignment wrapText="1"/>
    </xf>
    <xf numFmtId="0" fontId="0" fillId="0" borderId="6" xfId="0" applyBorder="1" applyAlignment="1">
      <alignment horizontal="left" wrapText="1"/>
    </xf>
    <xf numFmtId="6" fontId="3" fillId="2" borderId="3" xfId="0" applyNumberFormat="1" applyFont="1" applyFill="1" applyBorder="1"/>
    <xf numFmtId="0" fontId="0" fillId="0" borderId="4" xfId="0" applyFill="1" applyBorder="1"/>
    <xf numFmtId="6" fontId="3" fillId="2" borderId="4" xfId="0" applyNumberFormat="1" applyFont="1" applyFill="1" applyBorder="1"/>
    <xf numFmtId="0" fontId="0" fillId="5" borderId="4" xfId="0" applyFill="1" applyBorder="1" applyAlignment="1">
      <alignment horizontal="right"/>
    </xf>
    <xf numFmtId="165" fontId="0" fillId="0" borderId="4" xfId="1" applyNumberFormat="1" applyFont="1" applyBorder="1"/>
    <xf numFmtId="0" fontId="0" fillId="5" borderId="2" xfId="0" applyFill="1" applyBorder="1"/>
    <xf numFmtId="6" fontId="3" fillId="2" borderId="2" xfId="0" applyNumberFormat="1" applyFont="1" applyFill="1" applyBorder="1"/>
    <xf numFmtId="0" fontId="0" fillId="3" borderId="0" xfId="0" applyFill="1" applyBorder="1"/>
    <xf numFmtId="0" fontId="0" fillId="5" borderId="0" xfId="0" applyFill="1" applyBorder="1" applyAlignment="1">
      <alignment horizontal="right"/>
    </xf>
    <xf numFmtId="0" fontId="0" fillId="0" borderId="0" xfId="0" applyBorder="1" applyProtection="1">
      <protection locked="0"/>
    </xf>
    <xf numFmtId="6" fontId="3" fillId="2" borderId="0" xfId="0" applyNumberFormat="1" applyFont="1" applyFill="1" applyBorder="1"/>
    <xf numFmtId="0" fontId="0" fillId="5" borderId="0" xfId="0" applyFill="1" applyBorder="1"/>
    <xf numFmtId="0" fontId="0" fillId="0" borderId="5" xfId="0" applyBorder="1" applyAlignment="1">
      <alignment wrapText="1"/>
    </xf>
    <xf numFmtId="0" fontId="0" fillId="0" borderId="3" xfId="0" applyFill="1" applyBorder="1"/>
    <xf numFmtId="165" fontId="0" fillId="0" borderId="3" xfId="1" applyNumberFormat="1" applyFont="1" applyBorder="1"/>
    <xf numFmtId="0" fontId="0" fillId="0" borderId="3" xfId="0" applyBorder="1" applyAlignment="1">
      <alignment horizontal="left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tabSelected="1" topLeftCell="A22" workbookViewId="0">
      <selection activeCell="I28" sqref="I28"/>
    </sheetView>
  </sheetViews>
  <sheetFormatPr baseColWidth="10" defaultRowHeight="14.5" x14ac:dyDescent="0.35"/>
  <cols>
    <col min="1" max="1" width="40.36328125" customWidth="1"/>
    <col min="4" max="4" width="13.6328125" bestFit="1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</row>
    <row r="2" spans="1:6" x14ac:dyDescent="0.35">
      <c r="A2" s="4" t="s">
        <v>6</v>
      </c>
      <c r="B2" s="4">
        <v>2</v>
      </c>
      <c r="C2" s="5"/>
      <c r="D2" s="6">
        <v>190000</v>
      </c>
      <c r="E2" s="7"/>
      <c r="F2" s="8">
        <f>B2-E2</f>
        <v>2</v>
      </c>
    </row>
    <row r="3" spans="1:6" x14ac:dyDescent="0.35">
      <c r="A3" s="9" t="s">
        <v>7</v>
      </c>
      <c r="B3" s="9">
        <v>2</v>
      </c>
      <c r="C3" s="10"/>
      <c r="D3" s="11">
        <v>270000</v>
      </c>
      <c r="E3" s="12"/>
      <c r="F3" s="13">
        <f>B3-E3</f>
        <v>2</v>
      </c>
    </row>
    <row r="4" spans="1:6" x14ac:dyDescent="0.35">
      <c r="A4" s="9" t="s">
        <v>10</v>
      </c>
      <c r="B4" s="9">
        <v>1</v>
      </c>
      <c r="C4" s="10"/>
      <c r="D4" s="11">
        <v>290000</v>
      </c>
      <c r="E4" s="12">
        <v>1</v>
      </c>
      <c r="F4" s="13">
        <f>B4-E4</f>
        <v>0</v>
      </c>
    </row>
    <row r="5" spans="1:6" x14ac:dyDescent="0.35">
      <c r="A5" s="9" t="s">
        <v>11</v>
      </c>
      <c r="B5" s="9">
        <v>1</v>
      </c>
      <c r="C5" s="10"/>
      <c r="D5" s="11">
        <v>500000</v>
      </c>
      <c r="E5" s="12">
        <v>1</v>
      </c>
      <c r="F5" s="13">
        <f>B5-E5</f>
        <v>0</v>
      </c>
    </row>
    <row r="6" spans="1:6" ht="43.5" x14ac:dyDescent="0.35">
      <c r="A6" s="10" t="s">
        <v>8</v>
      </c>
      <c r="B6" s="9">
        <v>4</v>
      </c>
      <c r="C6" s="10"/>
      <c r="D6" s="11">
        <v>240000</v>
      </c>
      <c r="E6" s="12">
        <v>4</v>
      </c>
      <c r="F6" s="13">
        <f>B6-E6</f>
        <v>0</v>
      </c>
    </row>
    <row r="7" spans="1:6" ht="29" x14ac:dyDescent="0.35">
      <c r="A7" s="51" t="s">
        <v>761</v>
      </c>
      <c r="B7" s="9">
        <v>3</v>
      </c>
      <c r="C7" s="10"/>
      <c r="D7" s="11">
        <v>380000</v>
      </c>
      <c r="E7" s="12">
        <v>1</v>
      </c>
      <c r="F7" s="13">
        <f>B7-E7</f>
        <v>2</v>
      </c>
    </row>
    <row r="8" spans="1:6" ht="29" x14ac:dyDescent="0.35">
      <c r="A8" s="10" t="s">
        <v>9</v>
      </c>
      <c r="B8" s="9">
        <v>6</v>
      </c>
      <c r="C8" s="10"/>
      <c r="D8" s="11">
        <v>340000</v>
      </c>
      <c r="E8" s="12">
        <v>3</v>
      </c>
      <c r="F8" s="13">
        <f>B8-E8</f>
        <v>3</v>
      </c>
    </row>
    <row r="9" spans="1:6" x14ac:dyDescent="0.35">
      <c r="A9" s="9" t="s">
        <v>12</v>
      </c>
      <c r="B9" s="14">
        <v>3</v>
      </c>
      <c r="C9" s="15"/>
      <c r="D9" s="11">
        <v>36000</v>
      </c>
      <c r="E9" s="12">
        <v>2</v>
      </c>
      <c r="F9" s="13">
        <f>B9-E9</f>
        <v>1</v>
      </c>
    </row>
    <row r="10" spans="1:6" x14ac:dyDescent="0.35">
      <c r="A10" s="9" t="s">
        <v>13</v>
      </c>
      <c r="B10" s="14">
        <v>2</v>
      </c>
      <c r="C10" s="15"/>
      <c r="D10" s="11">
        <v>80000</v>
      </c>
      <c r="E10" s="12">
        <v>2</v>
      </c>
      <c r="F10" s="13">
        <f>B10-E10</f>
        <v>0</v>
      </c>
    </row>
    <row r="11" spans="1:6" x14ac:dyDescent="0.35">
      <c r="A11" s="9" t="s">
        <v>14</v>
      </c>
      <c r="B11" s="9">
        <v>2</v>
      </c>
      <c r="C11" s="10"/>
      <c r="D11" s="11">
        <v>84000</v>
      </c>
      <c r="E11" s="12"/>
      <c r="F11" s="13">
        <f>B11-E11</f>
        <v>2</v>
      </c>
    </row>
    <row r="12" spans="1:6" x14ac:dyDescent="0.35">
      <c r="A12" s="9" t="s">
        <v>15</v>
      </c>
      <c r="B12" s="14">
        <v>1</v>
      </c>
      <c r="C12" s="15"/>
      <c r="D12" s="11">
        <v>81000</v>
      </c>
      <c r="E12" s="12">
        <v>1</v>
      </c>
      <c r="F12" s="13">
        <f>B12-E12</f>
        <v>0</v>
      </c>
    </row>
    <row r="13" spans="1:6" x14ac:dyDescent="0.35">
      <c r="A13" s="9" t="s">
        <v>16</v>
      </c>
      <c r="B13" s="9">
        <v>1</v>
      </c>
      <c r="C13" s="10"/>
      <c r="D13" s="11">
        <v>1380000</v>
      </c>
      <c r="E13" s="12">
        <v>1</v>
      </c>
      <c r="F13" s="13">
        <f>B13-E13</f>
        <v>0</v>
      </c>
    </row>
    <row r="14" spans="1:6" x14ac:dyDescent="0.35">
      <c r="A14" s="9" t="s">
        <v>17</v>
      </c>
      <c r="B14" s="16">
        <v>1</v>
      </c>
      <c r="C14" s="16"/>
      <c r="D14" s="11">
        <v>1680056</v>
      </c>
      <c r="E14" s="12"/>
      <c r="F14" s="13">
        <f>B14-E14</f>
        <v>1</v>
      </c>
    </row>
    <row r="15" spans="1:6" x14ac:dyDescent="0.35">
      <c r="A15" s="9" t="s">
        <v>18</v>
      </c>
      <c r="B15" s="16">
        <v>1</v>
      </c>
      <c r="C15" s="16"/>
      <c r="D15" s="11">
        <v>1728901.2</v>
      </c>
      <c r="E15" s="12"/>
      <c r="F15" s="13">
        <f>B15-E15</f>
        <v>1</v>
      </c>
    </row>
    <row r="16" spans="1:6" x14ac:dyDescent="0.35">
      <c r="A16" s="9" t="s">
        <v>762</v>
      </c>
      <c r="B16" s="9">
        <v>2</v>
      </c>
      <c r="C16" s="10"/>
      <c r="D16" s="11">
        <v>900000</v>
      </c>
      <c r="E16" s="12">
        <v>1</v>
      </c>
      <c r="F16" s="13">
        <f>B16-E16</f>
        <v>1</v>
      </c>
    </row>
    <row r="17" spans="1:6" x14ac:dyDescent="0.35">
      <c r="A17" s="9" t="s">
        <v>763</v>
      </c>
      <c r="B17" s="16">
        <v>1</v>
      </c>
      <c r="C17" s="16"/>
      <c r="D17" s="11">
        <v>900000</v>
      </c>
      <c r="E17" s="12"/>
      <c r="F17" s="13">
        <f>B17-E17</f>
        <v>1</v>
      </c>
    </row>
    <row r="18" spans="1:6" ht="43.5" x14ac:dyDescent="0.35">
      <c r="A18" s="16" t="s">
        <v>19</v>
      </c>
      <c r="B18" s="9">
        <v>1</v>
      </c>
      <c r="C18" s="10" t="s">
        <v>20</v>
      </c>
      <c r="D18" s="11">
        <v>1393847</v>
      </c>
      <c r="E18" s="12"/>
      <c r="F18" s="13">
        <f>B18-E18</f>
        <v>1</v>
      </c>
    </row>
    <row r="19" spans="1:6" ht="43.5" x14ac:dyDescent="0.35">
      <c r="A19" s="16" t="s">
        <v>21</v>
      </c>
      <c r="B19" s="9">
        <v>1</v>
      </c>
      <c r="C19" s="10" t="s">
        <v>20</v>
      </c>
      <c r="D19" s="11">
        <v>1867229</v>
      </c>
      <c r="E19" s="12"/>
      <c r="F19" s="13">
        <f>B19-E19</f>
        <v>1</v>
      </c>
    </row>
    <row r="20" spans="1:6" x14ac:dyDescent="0.35">
      <c r="A20" s="9" t="s">
        <v>764</v>
      </c>
      <c r="B20" s="9">
        <v>2</v>
      </c>
      <c r="C20" s="10"/>
      <c r="D20" s="11">
        <v>1650000</v>
      </c>
      <c r="E20" s="12">
        <v>1</v>
      </c>
      <c r="F20" s="13">
        <f>B20-E20</f>
        <v>1</v>
      </c>
    </row>
    <row r="21" spans="1:6" x14ac:dyDescent="0.35">
      <c r="A21" s="16" t="s">
        <v>22</v>
      </c>
      <c r="B21" s="9">
        <v>1</v>
      </c>
      <c r="C21" s="10" t="s">
        <v>23</v>
      </c>
      <c r="D21" s="11">
        <v>2300000</v>
      </c>
      <c r="E21" s="12">
        <v>1</v>
      </c>
      <c r="F21" s="13">
        <f>B21-E21</f>
        <v>0</v>
      </c>
    </row>
    <row r="22" spans="1:6" x14ac:dyDescent="0.35">
      <c r="A22" s="16" t="s">
        <v>24</v>
      </c>
      <c r="B22" s="9">
        <v>1</v>
      </c>
      <c r="C22" s="10" t="s">
        <v>23</v>
      </c>
      <c r="D22" s="11">
        <v>1340000</v>
      </c>
      <c r="E22" s="12">
        <v>1</v>
      </c>
      <c r="F22" s="13">
        <f>B22-E22</f>
        <v>0</v>
      </c>
    </row>
    <row r="23" spans="1:6" x14ac:dyDescent="0.35">
      <c r="A23" s="9" t="s">
        <v>765</v>
      </c>
      <c r="B23" s="9">
        <v>1</v>
      </c>
      <c r="C23" s="10"/>
      <c r="D23" s="11">
        <v>450000</v>
      </c>
      <c r="E23" s="12"/>
      <c r="F23" s="13">
        <f>B23-E23</f>
        <v>1</v>
      </c>
    </row>
    <row r="24" spans="1:6" x14ac:dyDescent="0.35">
      <c r="A24" s="9" t="s">
        <v>25</v>
      </c>
      <c r="B24" s="9">
        <v>1</v>
      </c>
      <c r="C24" s="10"/>
      <c r="D24" s="11">
        <v>3550000</v>
      </c>
      <c r="E24" s="12">
        <v>1</v>
      </c>
      <c r="F24" s="13">
        <f>B24-E24</f>
        <v>0</v>
      </c>
    </row>
    <row r="25" spans="1:6" ht="29" x14ac:dyDescent="0.35">
      <c r="A25" s="16" t="s">
        <v>26</v>
      </c>
      <c r="B25" s="9">
        <v>1</v>
      </c>
      <c r="C25" s="17" t="s">
        <v>27</v>
      </c>
      <c r="D25" s="11">
        <v>1300000</v>
      </c>
      <c r="E25" s="12">
        <v>1</v>
      </c>
      <c r="F25" s="13">
        <f>B25-E25</f>
        <v>0</v>
      </c>
    </row>
    <row r="26" spans="1:6" x14ac:dyDescent="0.35">
      <c r="A26" s="9" t="s">
        <v>28</v>
      </c>
      <c r="B26" s="9">
        <v>1</v>
      </c>
      <c r="C26" s="10"/>
      <c r="D26" s="11">
        <v>280000</v>
      </c>
      <c r="E26" s="12"/>
      <c r="F26" s="13">
        <f>B26-E26</f>
        <v>1</v>
      </c>
    </row>
    <row r="27" spans="1:6" x14ac:dyDescent="0.35">
      <c r="A27" s="9" t="s">
        <v>766</v>
      </c>
      <c r="B27" s="9">
        <v>2</v>
      </c>
      <c r="C27" s="10"/>
      <c r="D27" s="25">
        <v>40000</v>
      </c>
      <c r="E27" s="12"/>
      <c r="F27" s="13">
        <f>B27-E27</f>
        <v>2</v>
      </c>
    </row>
    <row r="28" spans="1:6" x14ac:dyDescent="0.35">
      <c r="A28" s="9" t="s">
        <v>29</v>
      </c>
      <c r="B28" s="9">
        <v>2</v>
      </c>
      <c r="C28" s="9"/>
      <c r="D28" s="11">
        <v>490000</v>
      </c>
      <c r="E28" s="12">
        <v>1</v>
      </c>
      <c r="F28" s="13">
        <f>B28-E28</f>
        <v>1</v>
      </c>
    </row>
    <row r="29" spans="1:6" x14ac:dyDescent="0.35">
      <c r="A29" s="9" t="s">
        <v>30</v>
      </c>
      <c r="B29" s="9">
        <v>5</v>
      </c>
      <c r="C29" s="9"/>
      <c r="D29" s="11">
        <v>98000</v>
      </c>
      <c r="E29" s="12"/>
      <c r="F29" s="13">
        <f>B29-E29</f>
        <v>5</v>
      </c>
    </row>
    <row r="30" spans="1:6" x14ac:dyDescent="0.35">
      <c r="A30" s="9" t="s">
        <v>30</v>
      </c>
      <c r="B30" s="9">
        <v>3</v>
      </c>
      <c r="C30" s="10"/>
      <c r="D30" s="11">
        <v>95000</v>
      </c>
      <c r="E30" s="12">
        <v>1</v>
      </c>
      <c r="F30" s="13">
        <f>B30-E30</f>
        <v>2</v>
      </c>
    </row>
    <row r="31" spans="1:6" x14ac:dyDescent="0.35">
      <c r="A31" s="9" t="s">
        <v>31</v>
      </c>
      <c r="B31" s="9">
        <v>8</v>
      </c>
      <c r="C31" s="9"/>
      <c r="D31" s="11">
        <v>78000</v>
      </c>
      <c r="E31" s="12"/>
      <c r="F31" s="13">
        <f>B31-E31</f>
        <v>8</v>
      </c>
    </row>
    <row r="32" spans="1:6" x14ac:dyDescent="0.35">
      <c r="A32" s="9" t="s">
        <v>31</v>
      </c>
      <c r="B32" s="9">
        <v>9</v>
      </c>
      <c r="C32" s="10"/>
      <c r="D32" s="11">
        <v>75000</v>
      </c>
      <c r="E32" s="12">
        <v>9</v>
      </c>
      <c r="F32" s="13">
        <f>B32-E32</f>
        <v>0</v>
      </c>
    </row>
    <row r="33" spans="1:6" x14ac:dyDescent="0.35">
      <c r="A33" s="9" t="s">
        <v>767</v>
      </c>
      <c r="B33" s="9">
        <v>1</v>
      </c>
      <c r="C33" s="10"/>
      <c r="D33" s="25">
        <v>2100000</v>
      </c>
      <c r="E33" s="12"/>
      <c r="F33" s="13">
        <f>B33-E33</f>
        <v>1</v>
      </c>
    </row>
    <row r="34" spans="1:6" x14ac:dyDescent="0.35">
      <c r="A34" s="9" t="s">
        <v>32</v>
      </c>
      <c r="B34" s="9">
        <v>1</v>
      </c>
      <c r="C34" s="17"/>
      <c r="D34" s="11">
        <v>58000</v>
      </c>
      <c r="E34" s="12"/>
      <c r="F34" s="13">
        <f>B34-E34</f>
        <v>1</v>
      </c>
    </row>
    <row r="35" spans="1:6" x14ac:dyDescent="0.35">
      <c r="A35" s="9" t="s">
        <v>33</v>
      </c>
      <c r="B35" s="14">
        <v>2</v>
      </c>
      <c r="C35" s="15"/>
      <c r="D35" s="11">
        <v>70000</v>
      </c>
      <c r="E35" s="12">
        <v>2</v>
      </c>
      <c r="F35" s="13">
        <f>B35-E35</f>
        <v>0</v>
      </c>
    </row>
    <row r="36" spans="1:6" x14ac:dyDescent="0.35">
      <c r="A36" s="9" t="s">
        <v>34</v>
      </c>
      <c r="B36" s="9">
        <v>3</v>
      </c>
      <c r="C36" s="10"/>
      <c r="D36" s="11">
        <v>40000</v>
      </c>
      <c r="E36" s="12">
        <v>3</v>
      </c>
      <c r="F36" s="13">
        <f>B36-E36</f>
        <v>0</v>
      </c>
    </row>
    <row r="37" spans="1:6" x14ac:dyDescent="0.35">
      <c r="A37" s="9" t="s">
        <v>35</v>
      </c>
      <c r="B37" s="9">
        <v>8</v>
      </c>
      <c r="C37" s="10"/>
      <c r="D37" s="11">
        <v>36000</v>
      </c>
      <c r="E37" s="12">
        <v>2</v>
      </c>
      <c r="F37" s="13">
        <f>B37-E37</f>
        <v>6</v>
      </c>
    </row>
    <row r="38" spans="1:6" x14ac:dyDescent="0.35">
      <c r="A38" s="21" t="s">
        <v>768</v>
      </c>
      <c r="B38" s="9">
        <v>3</v>
      </c>
      <c r="C38" s="10"/>
      <c r="D38" s="11">
        <v>70000</v>
      </c>
      <c r="E38" s="12"/>
      <c r="F38" s="13">
        <f>B38-E38</f>
        <v>3</v>
      </c>
    </row>
    <row r="39" spans="1:6" x14ac:dyDescent="0.35">
      <c r="A39" s="21" t="s">
        <v>769</v>
      </c>
      <c r="B39" s="9">
        <v>2</v>
      </c>
      <c r="C39" s="10"/>
      <c r="D39" s="11">
        <v>50000</v>
      </c>
      <c r="E39" s="12"/>
      <c r="F39" s="13">
        <f>B39-E39</f>
        <v>2</v>
      </c>
    </row>
    <row r="40" spans="1:6" x14ac:dyDescent="0.35">
      <c r="A40" s="19" t="s">
        <v>770</v>
      </c>
      <c r="B40" s="19">
        <v>1</v>
      </c>
      <c r="C40" s="29"/>
      <c r="D40" s="11">
        <v>75000</v>
      </c>
      <c r="E40" s="12"/>
      <c r="F40" s="13">
        <f>B40-E40</f>
        <v>1</v>
      </c>
    </row>
    <row r="41" spans="1:6" ht="29" x14ac:dyDescent="0.35">
      <c r="A41" s="29" t="s">
        <v>36</v>
      </c>
      <c r="B41" s="19">
        <v>2</v>
      </c>
      <c r="C41" s="29"/>
      <c r="D41" s="11">
        <v>990000</v>
      </c>
      <c r="E41" s="12"/>
      <c r="F41" s="13">
        <f>B41-E41</f>
        <v>2</v>
      </c>
    </row>
    <row r="42" spans="1:6" ht="29" x14ac:dyDescent="0.35">
      <c r="A42" s="10" t="s">
        <v>36</v>
      </c>
      <c r="B42" s="9">
        <v>2</v>
      </c>
      <c r="C42" s="10"/>
      <c r="D42" s="11">
        <v>950000</v>
      </c>
      <c r="E42" s="12">
        <v>2</v>
      </c>
      <c r="F42" s="13">
        <f>B42-E42</f>
        <v>0</v>
      </c>
    </row>
    <row r="43" spans="1:6" ht="72.5" x14ac:dyDescent="0.35">
      <c r="A43" s="9" t="s">
        <v>37</v>
      </c>
      <c r="B43" s="16">
        <v>1</v>
      </c>
      <c r="C43" s="17" t="s">
        <v>38</v>
      </c>
      <c r="D43" s="11">
        <v>1127574</v>
      </c>
      <c r="E43" s="12">
        <v>1</v>
      </c>
      <c r="F43" s="13">
        <f>B43-E43</f>
        <v>0</v>
      </c>
    </row>
    <row r="44" spans="1:6" ht="43.5" x14ac:dyDescent="0.35">
      <c r="A44" s="10" t="s">
        <v>39</v>
      </c>
      <c r="B44" s="9">
        <v>7</v>
      </c>
      <c r="C44" s="9" t="s">
        <v>40</v>
      </c>
      <c r="D44" s="11">
        <v>950000</v>
      </c>
      <c r="E44" s="12">
        <v>3</v>
      </c>
      <c r="F44" s="13">
        <f>B44-E44</f>
        <v>4</v>
      </c>
    </row>
    <row r="45" spans="1:6" ht="43.5" x14ac:dyDescent="0.35">
      <c r="A45" s="10" t="s">
        <v>39</v>
      </c>
      <c r="B45" s="9">
        <v>2</v>
      </c>
      <c r="C45" s="9" t="s">
        <v>40</v>
      </c>
      <c r="D45" s="11">
        <v>850000</v>
      </c>
      <c r="E45" s="12">
        <v>2</v>
      </c>
      <c r="F45" s="13">
        <f>B45-E45</f>
        <v>0</v>
      </c>
    </row>
    <row r="46" spans="1:6" x14ac:dyDescent="0.35">
      <c r="A46" s="9" t="s">
        <v>771</v>
      </c>
      <c r="B46" s="16">
        <v>1</v>
      </c>
      <c r="C46" s="17"/>
      <c r="D46" s="11">
        <v>950000</v>
      </c>
      <c r="E46" s="12"/>
      <c r="F46" s="13">
        <f>B46-E46</f>
        <v>1</v>
      </c>
    </row>
    <row r="47" spans="1:6" x14ac:dyDescent="0.35">
      <c r="A47" s="9" t="s">
        <v>772</v>
      </c>
      <c r="B47" s="9">
        <v>1</v>
      </c>
      <c r="C47" s="10"/>
      <c r="D47" s="11">
        <v>50000</v>
      </c>
      <c r="E47" s="12"/>
      <c r="F47" s="13">
        <f>B47-E47</f>
        <v>1</v>
      </c>
    </row>
    <row r="48" spans="1:6" x14ac:dyDescent="0.35">
      <c r="A48" s="9" t="s">
        <v>41</v>
      </c>
      <c r="B48" s="9">
        <v>2</v>
      </c>
      <c r="C48" s="9"/>
      <c r="D48" s="20">
        <v>315000</v>
      </c>
      <c r="E48" s="12"/>
      <c r="F48" s="13">
        <f>B48-E48</f>
        <v>2</v>
      </c>
    </row>
    <row r="49" spans="1:6" x14ac:dyDescent="0.35">
      <c r="A49" s="9" t="s">
        <v>41</v>
      </c>
      <c r="B49" s="9">
        <v>1</v>
      </c>
      <c r="C49" s="9"/>
      <c r="D49" s="20">
        <v>240975</v>
      </c>
      <c r="E49" s="12">
        <v>1</v>
      </c>
      <c r="F49" s="13">
        <f>B49-E49</f>
        <v>0</v>
      </c>
    </row>
    <row r="50" spans="1:6" x14ac:dyDescent="0.35">
      <c r="A50" s="9" t="s">
        <v>42</v>
      </c>
      <c r="B50" s="9">
        <v>6</v>
      </c>
      <c r="C50" s="9"/>
      <c r="D50" s="20">
        <v>350000</v>
      </c>
      <c r="E50" s="12">
        <v>5</v>
      </c>
      <c r="F50" s="13">
        <f>B50-E50</f>
        <v>1</v>
      </c>
    </row>
    <row r="51" spans="1:6" x14ac:dyDescent="0.35">
      <c r="A51" s="9" t="s">
        <v>42</v>
      </c>
      <c r="B51" s="9">
        <v>3</v>
      </c>
      <c r="C51" s="9"/>
      <c r="D51" s="20">
        <v>294525</v>
      </c>
      <c r="E51" s="12">
        <v>3</v>
      </c>
      <c r="F51" s="13">
        <f>B51-E51</f>
        <v>0</v>
      </c>
    </row>
    <row r="52" spans="1:6" x14ac:dyDescent="0.35">
      <c r="A52" s="21" t="s">
        <v>43</v>
      </c>
      <c r="B52" s="9">
        <v>1</v>
      </c>
      <c r="C52" s="9"/>
      <c r="D52" s="20">
        <v>540000</v>
      </c>
      <c r="E52" s="12">
        <v>1</v>
      </c>
      <c r="F52" s="13">
        <f>B52-E52</f>
        <v>0</v>
      </c>
    </row>
    <row r="53" spans="1:6" x14ac:dyDescent="0.35">
      <c r="A53" s="21" t="s">
        <v>773</v>
      </c>
      <c r="B53" s="9">
        <v>1</v>
      </c>
      <c r="C53" s="10"/>
      <c r="D53" s="11">
        <v>50000</v>
      </c>
      <c r="E53" s="12"/>
      <c r="F53" s="13">
        <f>B53-E53</f>
        <v>1</v>
      </c>
    </row>
    <row r="54" spans="1:6" x14ac:dyDescent="0.35">
      <c r="A54" s="9" t="s">
        <v>44</v>
      </c>
      <c r="B54" s="9">
        <v>9</v>
      </c>
      <c r="C54" s="10"/>
      <c r="D54" s="11">
        <v>40000</v>
      </c>
      <c r="E54" s="12">
        <v>5</v>
      </c>
      <c r="F54" s="13">
        <f>B54-E54</f>
        <v>4</v>
      </c>
    </row>
    <row r="55" spans="1:6" x14ac:dyDescent="0.35">
      <c r="A55" s="21" t="s">
        <v>774</v>
      </c>
      <c r="B55" s="9">
        <v>6</v>
      </c>
      <c r="C55" s="10"/>
      <c r="D55" s="11">
        <v>60000</v>
      </c>
      <c r="E55" s="12"/>
      <c r="F55" s="13">
        <f>B55-E55</f>
        <v>6</v>
      </c>
    </row>
    <row r="56" spans="1:6" x14ac:dyDescent="0.35">
      <c r="A56" s="9" t="s">
        <v>45</v>
      </c>
      <c r="B56" s="14">
        <v>10</v>
      </c>
      <c r="C56" s="9" t="s">
        <v>40</v>
      </c>
      <c r="D56" s="11">
        <v>20000</v>
      </c>
      <c r="E56" s="12">
        <v>2</v>
      </c>
      <c r="F56" s="13">
        <f>B56-E56</f>
        <v>8</v>
      </c>
    </row>
    <row r="57" spans="1:6" x14ac:dyDescent="0.35">
      <c r="A57" s="9" t="s">
        <v>45</v>
      </c>
      <c r="B57" s="14">
        <v>5</v>
      </c>
      <c r="C57" s="9" t="s">
        <v>40</v>
      </c>
      <c r="D57" s="11">
        <v>20000</v>
      </c>
      <c r="E57" s="12">
        <v>3</v>
      </c>
      <c r="F57" s="13">
        <f>B57-E57</f>
        <v>2</v>
      </c>
    </row>
    <row r="58" spans="1:6" x14ac:dyDescent="0.35">
      <c r="A58" s="9" t="s">
        <v>46</v>
      </c>
      <c r="B58" s="9">
        <v>6</v>
      </c>
      <c r="C58" s="9"/>
      <c r="D58" s="11">
        <v>25000</v>
      </c>
      <c r="E58" s="12"/>
      <c r="F58" s="13">
        <f>B58-E58</f>
        <v>6</v>
      </c>
    </row>
    <row r="59" spans="1:6" x14ac:dyDescent="0.35">
      <c r="A59" s="9" t="s">
        <v>47</v>
      </c>
      <c r="B59" s="9">
        <v>3</v>
      </c>
      <c r="C59" s="9"/>
      <c r="D59" s="11">
        <v>25000</v>
      </c>
      <c r="E59" s="12"/>
      <c r="F59" s="13">
        <f>B59-E59</f>
        <v>3</v>
      </c>
    </row>
    <row r="60" spans="1:6" x14ac:dyDescent="0.35">
      <c r="A60" s="9" t="s">
        <v>48</v>
      </c>
      <c r="B60" s="9">
        <v>3</v>
      </c>
      <c r="C60" s="10"/>
      <c r="D60" s="11">
        <v>53000</v>
      </c>
      <c r="E60" s="12"/>
      <c r="F60" s="13">
        <f>B60-E60</f>
        <v>3</v>
      </c>
    </row>
    <row r="61" spans="1:6" x14ac:dyDescent="0.35">
      <c r="A61" s="9" t="s">
        <v>49</v>
      </c>
      <c r="B61" s="9">
        <v>3</v>
      </c>
      <c r="C61" s="10"/>
      <c r="D61" s="11">
        <v>53000</v>
      </c>
      <c r="E61" s="12"/>
      <c r="F61" s="13">
        <f>B61-E61</f>
        <v>3</v>
      </c>
    </row>
    <row r="62" spans="1:6" x14ac:dyDescent="0.35">
      <c r="A62" s="9" t="s">
        <v>50</v>
      </c>
      <c r="B62" s="9">
        <v>4</v>
      </c>
      <c r="C62" s="10"/>
      <c r="D62" s="11">
        <v>38000</v>
      </c>
      <c r="E62" s="12">
        <v>2</v>
      </c>
      <c r="F62" s="13">
        <f>B62-E62</f>
        <v>2</v>
      </c>
    </row>
    <row r="63" spans="1:6" x14ac:dyDescent="0.35">
      <c r="A63" s="9" t="s">
        <v>50</v>
      </c>
      <c r="B63" s="9">
        <v>8</v>
      </c>
      <c r="C63" s="10" t="s">
        <v>51</v>
      </c>
      <c r="D63" s="11">
        <v>35250</v>
      </c>
      <c r="E63" s="12">
        <v>2</v>
      </c>
      <c r="F63" s="13">
        <f>B63-E63</f>
        <v>6</v>
      </c>
    </row>
    <row r="64" spans="1:6" x14ac:dyDescent="0.35">
      <c r="A64" s="9" t="s">
        <v>50</v>
      </c>
      <c r="B64" s="9">
        <v>4</v>
      </c>
      <c r="C64" s="10"/>
      <c r="D64" s="11">
        <v>41900</v>
      </c>
      <c r="E64" s="12"/>
      <c r="F64" s="13">
        <f>B64-E64</f>
        <v>4</v>
      </c>
    </row>
    <row r="65" spans="1:6" x14ac:dyDescent="0.35">
      <c r="A65" s="9" t="s">
        <v>775</v>
      </c>
      <c r="B65" s="14">
        <v>4</v>
      </c>
      <c r="C65" s="9"/>
      <c r="D65" s="11">
        <v>25000</v>
      </c>
      <c r="E65" s="12"/>
      <c r="F65" s="13">
        <f>B65-E65</f>
        <v>4</v>
      </c>
    </row>
    <row r="66" spans="1:6" x14ac:dyDescent="0.35">
      <c r="A66" s="9" t="s">
        <v>52</v>
      </c>
      <c r="B66" s="9">
        <v>2</v>
      </c>
      <c r="C66" s="10" t="s">
        <v>51</v>
      </c>
      <c r="D66" s="11">
        <v>19095</v>
      </c>
      <c r="E66" s="12">
        <v>2</v>
      </c>
      <c r="F66" s="13">
        <f>B66-E66</f>
        <v>0</v>
      </c>
    </row>
    <row r="67" spans="1:6" x14ac:dyDescent="0.35">
      <c r="A67" s="9" t="s">
        <v>776</v>
      </c>
      <c r="B67" s="14">
        <v>4</v>
      </c>
      <c r="C67" s="9"/>
      <c r="D67" s="11">
        <v>25000</v>
      </c>
      <c r="E67" s="23"/>
      <c r="F67" s="24">
        <f>B67-E67</f>
        <v>4</v>
      </c>
    </row>
    <row r="68" spans="1:6" x14ac:dyDescent="0.35">
      <c r="A68" s="9" t="s">
        <v>53</v>
      </c>
      <c r="B68" s="9">
        <v>7</v>
      </c>
      <c r="C68" s="10" t="s">
        <v>51</v>
      </c>
      <c r="D68" s="11">
        <v>36000</v>
      </c>
      <c r="E68" s="23">
        <v>2</v>
      </c>
      <c r="F68" s="24">
        <f>B68-E68</f>
        <v>5</v>
      </c>
    </row>
    <row r="69" spans="1:6" x14ac:dyDescent="0.35">
      <c r="A69" s="9" t="s">
        <v>54</v>
      </c>
      <c r="B69" s="9">
        <v>4</v>
      </c>
      <c r="C69" s="10"/>
      <c r="D69" s="11">
        <v>15000</v>
      </c>
      <c r="E69" s="12"/>
      <c r="F69" s="13">
        <f>B69-E69</f>
        <v>4</v>
      </c>
    </row>
    <row r="70" spans="1:6" x14ac:dyDescent="0.35">
      <c r="A70" s="9" t="s">
        <v>55</v>
      </c>
      <c r="B70" s="9">
        <v>3</v>
      </c>
      <c r="C70" s="10"/>
      <c r="D70" s="11">
        <v>22000</v>
      </c>
      <c r="E70" s="12">
        <v>3</v>
      </c>
      <c r="F70" s="13">
        <f>B70-E70</f>
        <v>0</v>
      </c>
    </row>
    <row r="71" spans="1:6" x14ac:dyDescent="0.35">
      <c r="A71" s="9" t="s">
        <v>777</v>
      </c>
      <c r="B71" s="9">
        <v>5</v>
      </c>
      <c r="C71" s="10"/>
      <c r="D71" s="11">
        <v>95000</v>
      </c>
      <c r="E71" s="12"/>
      <c r="F71" s="13">
        <f>B71-E71</f>
        <v>5</v>
      </c>
    </row>
    <row r="72" spans="1:6" x14ac:dyDescent="0.35">
      <c r="A72" s="9" t="s">
        <v>778</v>
      </c>
      <c r="B72" s="9">
        <v>4</v>
      </c>
      <c r="C72" s="10"/>
      <c r="D72" s="11">
        <v>120000</v>
      </c>
      <c r="E72" s="12"/>
      <c r="F72" s="13">
        <f>B72-E72</f>
        <v>4</v>
      </c>
    </row>
    <row r="73" spans="1:6" x14ac:dyDescent="0.35">
      <c r="A73" s="21" t="s">
        <v>56</v>
      </c>
      <c r="B73" s="9">
        <v>3</v>
      </c>
      <c r="C73" s="10" t="s">
        <v>57</v>
      </c>
      <c r="D73" s="11">
        <v>24750</v>
      </c>
      <c r="E73" s="12">
        <v>3</v>
      </c>
      <c r="F73" s="13">
        <f>B73-E73</f>
        <v>0</v>
      </c>
    </row>
    <row r="74" spans="1:6" x14ac:dyDescent="0.35">
      <c r="A74" s="9" t="s">
        <v>58</v>
      </c>
      <c r="B74" s="9">
        <v>3</v>
      </c>
      <c r="C74" s="10"/>
      <c r="D74" s="11">
        <v>30000</v>
      </c>
      <c r="E74" s="12">
        <v>1</v>
      </c>
      <c r="F74" s="13">
        <f>B74-E74</f>
        <v>2</v>
      </c>
    </row>
    <row r="75" spans="1:6" x14ac:dyDescent="0.35">
      <c r="A75" s="9" t="s">
        <v>59</v>
      </c>
      <c r="B75" s="32">
        <v>3</v>
      </c>
      <c r="C75" s="50"/>
      <c r="D75" s="11">
        <v>40000</v>
      </c>
      <c r="E75" s="23">
        <v>1</v>
      </c>
      <c r="F75" s="24">
        <f>B75-E75</f>
        <v>2</v>
      </c>
    </row>
    <row r="76" spans="1:6" x14ac:dyDescent="0.35">
      <c r="A76" s="9" t="s">
        <v>59</v>
      </c>
      <c r="B76" s="32">
        <v>3</v>
      </c>
      <c r="C76" s="50"/>
      <c r="D76" s="11">
        <v>70000</v>
      </c>
      <c r="E76" s="23">
        <v>1</v>
      </c>
      <c r="F76" s="24">
        <f>B76-E76</f>
        <v>2</v>
      </c>
    </row>
    <row r="77" spans="1:6" x14ac:dyDescent="0.35">
      <c r="A77" s="21" t="s">
        <v>60</v>
      </c>
      <c r="B77" s="32">
        <v>2</v>
      </c>
      <c r="C77" s="50" t="s">
        <v>57</v>
      </c>
      <c r="D77" s="11">
        <v>61600</v>
      </c>
      <c r="E77" s="23">
        <v>2</v>
      </c>
      <c r="F77" s="24">
        <f>B77-E77</f>
        <v>0</v>
      </c>
    </row>
    <row r="78" spans="1:6" x14ac:dyDescent="0.35">
      <c r="A78" s="9" t="s">
        <v>182</v>
      </c>
      <c r="B78" s="32">
        <v>1</v>
      </c>
      <c r="C78" s="50"/>
      <c r="D78" s="11">
        <v>75000</v>
      </c>
      <c r="E78" s="23">
        <v>1</v>
      </c>
      <c r="F78" s="24">
        <f>B78-E78</f>
        <v>0</v>
      </c>
    </row>
    <row r="79" spans="1:6" x14ac:dyDescent="0.35">
      <c r="A79" s="9" t="s">
        <v>779</v>
      </c>
      <c r="B79" s="32">
        <v>4</v>
      </c>
      <c r="C79" s="50"/>
      <c r="D79" s="11">
        <v>25000</v>
      </c>
      <c r="E79" s="23"/>
      <c r="F79" s="24">
        <f>B79-E79</f>
        <v>4</v>
      </c>
    </row>
    <row r="80" spans="1:6" x14ac:dyDescent="0.35">
      <c r="A80" s="18" t="s">
        <v>780</v>
      </c>
      <c r="B80" s="32">
        <v>3</v>
      </c>
      <c r="C80" s="50"/>
      <c r="D80" s="11">
        <v>30000</v>
      </c>
      <c r="E80" s="23"/>
      <c r="F80" s="24">
        <f>B80-E80</f>
        <v>3</v>
      </c>
    </row>
    <row r="81" spans="1:6" x14ac:dyDescent="0.35">
      <c r="A81" s="9" t="s">
        <v>781</v>
      </c>
      <c r="B81" s="9">
        <v>4</v>
      </c>
      <c r="C81" s="10"/>
      <c r="D81" s="11">
        <v>34000</v>
      </c>
      <c r="E81" s="12"/>
      <c r="F81" s="24">
        <f>B81-E81</f>
        <v>4</v>
      </c>
    </row>
    <row r="82" spans="1:6" x14ac:dyDescent="0.35">
      <c r="A82" s="9" t="s">
        <v>782</v>
      </c>
      <c r="B82" s="9">
        <v>6</v>
      </c>
      <c r="C82" s="10"/>
      <c r="D82" s="11">
        <v>45000</v>
      </c>
      <c r="E82" s="12"/>
      <c r="F82" s="24">
        <f>B82-E82</f>
        <v>6</v>
      </c>
    </row>
    <row r="83" spans="1:6" x14ac:dyDescent="0.35">
      <c r="A83" s="9" t="s">
        <v>783</v>
      </c>
      <c r="B83" s="9">
        <v>6</v>
      </c>
      <c r="C83" s="10"/>
      <c r="D83" s="11">
        <v>55000</v>
      </c>
      <c r="E83" s="12"/>
      <c r="F83" s="24">
        <f>B83-E83</f>
        <v>6</v>
      </c>
    </row>
    <row r="84" spans="1:6" x14ac:dyDescent="0.35">
      <c r="A84" s="9" t="s">
        <v>784</v>
      </c>
      <c r="B84" s="9">
        <v>5</v>
      </c>
      <c r="C84" s="10"/>
      <c r="D84" s="11">
        <v>90000</v>
      </c>
      <c r="E84" s="12"/>
      <c r="F84" s="24">
        <f>B84-E84</f>
        <v>5</v>
      </c>
    </row>
    <row r="85" spans="1:6" x14ac:dyDescent="0.35">
      <c r="A85" s="9" t="s">
        <v>785</v>
      </c>
      <c r="B85" s="9">
        <v>1</v>
      </c>
      <c r="C85" s="10"/>
      <c r="D85" s="11">
        <v>90000</v>
      </c>
      <c r="E85" s="12"/>
      <c r="F85" s="24">
        <f>B85-E85</f>
        <v>1</v>
      </c>
    </row>
    <row r="86" spans="1:6" x14ac:dyDescent="0.35">
      <c r="A86" s="9" t="s">
        <v>786</v>
      </c>
      <c r="B86" s="9">
        <v>4</v>
      </c>
      <c r="C86" s="10"/>
      <c r="D86" s="11">
        <v>80000</v>
      </c>
      <c r="E86" s="12"/>
      <c r="F86" s="24">
        <f>B86-E86</f>
        <v>4</v>
      </c>
    </row>
    <row r="87" spans="1:6" x14ac:dyDescent="0.35">
      <c r="A87" s="9" t="s">
        <v>787</v>
      </c>
      <c r="B87" s="9">
        <v>4</v>
      </c>
      <c r="C87" s="10"/>
      <c r="D87" s="11">
        <v>100000</v>
      </c>
      <c r="E87" s="23"/>
      <c r="F87" s="24">
        <f>B87-E87</f>
        <v>4</v>
      </c>
    </row>
    <row r="88" spans="1:6" x14ac:dyDescent="0.35">
      <c r="A88" s="9" t="s">
        <v>61</v>
      </c>
      <c r="B88" s="9">
        <v>3</v>
      </c>
      <c r="C88" s="9"/>
      <c r="D88" s="11">
        <v>30000</v>
      </c>
      <c r="E88" s="23">
        <v>3</v>
      </c>
      <c r="F88" s="24">
        <f>B88-E88</f>
        <v>0</v>
      </c>
    </row>
    <row r="89" spans="1:6" x14ac:dyDescent="0.35">
      <c r="A89" s="9" t="s">
        <v>62</v>
      </c>
      <c r="B89" s="9">
        <v>3</v>
      </c>
      <c r="C89" s="9"/>
      <c r="D89" s="11">
        <v>40000</v>
      </c>
      <c r="E89" s="12"/>
      <c r="F89" s="24">
        <f>B89-E89</f>
        <v>3</v>
      </c>
    </row>
    <row r="90" spans="1:6" x14ac:dyDescent="0.35">
      <c r="A90" s="9" t="s">
        <v>63</v>
      </c>
      <c r="B90" s="9">
        <v>2</v>
      </c>
      <c r="C90" s="9"/>
      <c r="D90" s="11">
        <v>48000</v>
      </c>
      <c r="E90" s="12">
        <v>2</v>
      </c>
      <c r="F90" s="24">
        <f>B90-E90</f>
        <v>0</v>
      </c>
    </row>
    <row r="91" spans="1:6" x14ac:dyDescent="0.35">
      <c r="A91" s="9" t="s">
        <v>63</v>
      </c>
      <c r="B91" s="9">
        <v>3</v>
      </c>
      <c r="C91" s="9"/>
      <c r="D91" s="11">
        <v>48000</v>
      </c>
      <c r="E91" s="12">
        <v>3</v>
      </c>
      <c r="F91" s="24">
        <f>B91-E91</f>
        <v>0</v>
      </c>
    </row>
    <row r="92" spans="1:6" x14ac:dyDescent="0.35">
      <c r="A92" s="9" t="s">
        <v>64</v>
      </c>
      <c r="B92" s="9">
        <v>3</v>
      </c>
      <c r="C92" s="9"/>
      <c r="D92" s="11">
        <v>55000</v>
      </c>
      <c r="E92" s="12">
        <v>3</v>
      </c>
      <c r="F92" s="24">
        <f>B92-E92</f>
        <v>0</v>
      </c>
    </row>
    <row r="93" spans="1:6" x14ac:dyDescent="0.35">
      <c r="A93" s="9" t="s">
        <v>788</v>
      </c>
      <c r="B93" s="9">
        <v>1</v>
      </c>
      <c r="C93" s="9" t="s">
        <v>789</v>
      </c>
      <c r="D93" s="20">
        <v>1200000</v>
      </c>
      <c r="E93" s="12"/>
      <c r="F93" s="24">
        <f>B93-E93</f>
        <v>1</v>
      </c>
    </row>
    <row r="94" spans="1:6" x14ac:dyDescent="0.35">
      <c r="A94" s="9" t="s">
        <v>65</v>
      </c>
      <c r="B94" s="9">
        <v>3</v>
      </c>
      <c r="C94" s="10"/>
      <c r="D94" s="11">
        <v>870000</v>
      </c>
      <c r="E94" s="12"/>
      <c r="F94" s="24">
        <f>B94-E94</f>
        <v>3</v>
      </c>
    </row>
    <row r="95" spans="1:6" x14ac:dyDescent="0.35">
      <c r="A95" s="18" t="s">
        <v>66</v>
      </c>
      <c r="B95" s="9">
        <v>2</v>
      </c>
      <c r="C95" s="10"/>
      <c r="D95" s="11">
        <v>850000</v>
      </c>
      <c r="E95" s="12"/>
      <c r="F95" s="24">
        <f>B95-E95</f>
        <v>2</v>
      </c>
    </row>
    <row r="96" spans="1:6" x14ac:dyDescent="0.35">
      <c r="A96" s="9" t="s">
        <v>67</v>
      </c>
      <c r="B96" s="9">
        <v>1</v>
      </c>
      <c r="C96" s="9"/>
      <c r="D96" s="20">
        <v>450000</v>
      </c>
      <c r="E96" s="12">
        <v>1</v>
      </c>
      <c r="F96" s="24">
        <f>B96-E96</f>
        <v>0</v>
      </c>
    </row>
    <row r="97" spans="1:6" x14ac:dyDescent="0.35">
      <c r="A97" s="9" t="s">
        <v>68</v>
      </c>
      <c r="B97" s="16">
        <v>1</v>
      </c>
      <c r="C97" s="9"/>
      <c r="D97" s="11">
        <v>456000</v>
      </c>
      <c r="E97" s="12">
        <v>1</v>
      </c>
      <c r="F97" s="24">
        <f>B97-E97</f>
        <v>0</v>
      </c>
    </row>
    <row r="98" spans="1:6" x14ac:dyDescent="0.35">
      <c r="A98" s="21" t="s">
        <v>69</v>
      </c>
      <c r="B98" s="21">
        <v>4</v>
      </c>
      <c r="C98" s="26"/>
      <c r="D98" s="11">
        <v>590000</v>
      </c>
      <c r="E98" s="12">
        <v>4</v>
      </c>
      <c r="F98" s="24">
        <f>B98-E98</f>
        <v>0</v>
      </c>
    </row>
    <row r="99" spans="1:6" x14ac:dyDescent="0.35">
      <c r="A99" s="9" t="s">
        <v>70</v>
      </c>
      <c r="B99" s="14">
        <v>2</v>
      </c>
      <c r="C99" s="15"/>
      <c r="D99" s="11">
        <v>580000</v>
      </c>
      <c r="E99" s="12">
        <v>2</v>
      </c>
      <c r="F99" s="24">
        <f>B99-E99</f>
        <v>0</v>
      </c>
    </row>
    <row r="100" spans="1:6" x14ac:dyDescent="0.35">
      <c r="A100" s="9" t="s">
        <v>70</v>
      </c>
      <c r="B100" s="21">
        <v>3</v>
      </c>
      <c r="C100" s="9"/>
      <c r="D100" s="11">
        <v>750000</v>
      </c>
      <c r="E100" s="9">
        <v>1</v>
      </c>
      <c r="F100" s="24">
        <f>B100-E100</f>
        <v>2</v>
      </c>
    </row>
    <row r="101" spans="1:6" x14ac:dyDescent="0.35">
      <c r="A101" s="9" t="s">
        <v>71</v>
      </c>
      <c r="B101" s="9">
        <v>2</v>
      </c>
      <c r="C101" s="10"/>
      <c r="D101" s="11">
        <v>850000</v>
      </c>
      <c r="E101" s="12"/>
      <c r="F101" s="24">
        <f>B101-E101</f>
        <v>2</v>
      </c>
    </row>
    <row r="102" spans="1:6" x14ac:dyDescent="0.35">
      <c r="A102" s="9" t="s">
        <v>72</v>
      </c>
      <c r="B102" s="9">
        <v>1</v>
      </c>
      <c r="C102" s="10"/>
      <c r="D102" s="11">
        <v>750000</v>
      </c>
      <c r="E102" s="12">
        <v>1</v>
      </c>
      <c r="F102" s="24">
        <f>B102-E102</f>
        <v>0</v>
      </c>
    </row>
    <row r="103" spans="1:6" x14ac:dyDescent="0.35">
      <c r="A103" s="9" t="s">
        <v>73</v>
      </c>
      <c r="B103" s="21">
        <v>1</v>
      </c>
      <c r="C103" s="9"/>
      <c r="D103" s="11">
        <v>770000</v>
      </c>
      <c r="E103" s="9">
        <v>1</v>
      </c>
      <c r="F103" s="24">
        <f>B103-E103</f>
        <v>0</v>
      </c>
    </row>
    <row r="104" spans="1:6" x14ac:dyDescent="0.35">
      <c r="A104" s="9" t="s">
        <v>74</v>
      </c>
      <c r="B104" s="9">
        <v>2</v>
      </c>
      <c r="C104" s="10"/>
      <c r="D104" s="11">
        <v>580000</v>
      </c>
      <c r="E104" s="12">
        <v>1</v>
      </c>
      <c r="F104" s="24">
        <f>B104-E104</f>
        <v>1</v>
      </c>
    </row>
    <row r="105" spans="1:6" x14ac:dyDescent="0.35">
      <c r="A105" s="9" t="s">
        <v>189</v>
      </c>
      <c r="B105" s="9">
        <v>2</v>
      </c>
      <c r="C105" s="10"/>
      <c r="D105" s="11">
        <v>750000</v>
      </c>
      <c r="E105" s="12"/>
      <c r="F105" s="24">
        <f>B105-E105</f>
        <v>2</v>
      </c>
    </row>
    <row r="106" spans="1:6" x14ac:dyDescent="0.35">
      <c r="A106" s="9" t="s">
        <v>191</v>
      </c>
      <c r="B106" s="9">
        <v>4</v>
      </c>
      <c r="C106" s="10"/>
      <c r="D106" s="11">
        <v>650000</v>
      </c>
      <c r="E106" s="12">
        <v>2</v>
      </c>
      <c r="F106" s="24">
        <f>B106-E106</f>
        <v>2</v>
      </c>
    </row>
    <row r="107" spans="1:6" x14ac:dyDescent="0.35">
      <c r="A107" s="9" t="s">
        <v>790</v>
      </c>
      <c r="B107" s="9">
        <v>2</v>
      </c>
      <c r="C107" s="9"/>
      <c r="D107" s="11">
        <v>640000</v>
      </c>
      <c r="E107" s="12">
        <v>1</v>
      </c>
      <c r="F107" s="24">
        <f>B107-E107</f>
        <v>1</v>
      </c>
    </row>
    <row r="108" spans="1:6" x14ac:dyDescent="0.35">
      <c r="A108" s="9" t="s">
        <v>791</v>
      </c>
      <c r="B108" s="9">
        <v>1</v>
      </c>
      <c r="C108" s="9"/>
      <c r="D108" s="11">
        <v>620000</v>
      </c>
      <c r="E108" s="12"/>
      <c r="F108" s="24">
        <f>B108-E108</f>
        <v>1</v>
      </c>
    </row>
    <row r="109" spans="1:6" x14ac:dyDescent="0.35">
      <c r="A109" s="9" t="s">
        <v>792</v>
      </c>
      <c r="B109" s="9">
        <v>1</v>
      </c>
      <c r="C109" s="9"/>
      <c r="D109" s="11">
        <v>620000</v>
      </c>
      <c r="E109" s="12"/>
      <c r="F109" s="24">
        <f>B109-E109</f>
        <v>1</v>
      </c>
    </row>
    <row r="110" spans="1:6" x14ac:dyDescent="0.35">
      <c r="A110" s="9" t="s">
        <v>793</v>
      </c>
      <c r="B110" s="9">
        <v>2</v>
      </c>
      <c r="C110" s="9"/>
      <c r="D110" s="11">
        <v>620000</v>
      </c>
      <c r="E110" s="12">
        <v>1</v>
      </c>
      <c r="F110" s="24">
        <f>B110-E110</f>
        <v>1</v>
      </c>
    </row>
    <row r="111" spans="1:6" x14ac:dyDescent="0.35">
      <c r="A111" s="9" t="s">
        <v>794</v>
      </c>
      <c r="B111" s="9">
        <v>1</v>
      </c>
      <c r="C111" s="9"/>
      <c r="D111" s="11">
        <v>640000</v>
      </c>
      <c r="E111" s="12"/>
      <c r="F111" s="24">
        <f>B111-E111</f>
        <v>1</v>
      </c>
    </row>
    <row r="112" spans="1:6" ht="43.5" x14ac:dyDescent="0.35">
      <c r="A112" s="16" t="s">
        <v>75</v>
      </c>
      <c r="B112" s="9">
        <v>1</v>
      </c>
      <c r="C112" s="10" t="s">
        <v>20</v>
      </c>
      <c r="D112" s="11">
        <v>1274490</v>
      </c>
      <c r="E112" s="12">
        <v>1</v>
      </c>
      <c r="F112" s="24">
        <f>B112-E112</f>
        <v>0</v>
      </c>
    </row>
    <row r="113" spans="1:6" x14ac:dyDescent="0.35">
      <c r="A113" s="9" t="s">
        <v>76</v>
      </c>
      <c r="B113" s="9">
        <v>1</v>
      </c>
      <c r="C113" s="10"/>
      <c r="D113" s="11">
        <v>780000</v>
      </c>
      <c r="E113" s="12">
        <v>1</v>
      </c>
      <c r="F113" s="24">
        <f>B113-E113</f>
        <v>0</v>
      </c>
    </row>
    <row r="114" spans="1:6" x14ac:dyDescent="0.35">
      <c r="A114" s="16" t="s">
        <v>78</v>
      </c>
      <c r="B114" s="9">
        <v>3</v>
      </c>
      <c r="C114" s="9"/>
      <c r="D114" s="11">
        <v>490000</v>
      </c>
      <c r="E114" s="12">
        <v>1</v>
      </c>
      <c r="F114" s="24">
        <f>B114-E114</f>
        <v>2</v>
      </c>
    </row>
    <row r="115" spans="1:6" x14ac:dyDescent="0.35">
      <c r="A115" s="16" t="s">
        <v>79</v>
      </c>
      <c r="B115" s="9">
        <v>1</v>
      </c>
      <c r="C115" s="9"/>
      <c r="D115" s="11">
        <v>460000</v>
      </c>
      <c r="E115" s="12">
        <v>1</v>
      </c>
      <c r="F115" s="24">
        <f>B115-E115</f>
        <v>0</v>
      </c>
    </row>
    <row r="116" spans="1:6" x14ac:dyDescent="0.35">
      <c r="A116" s="9" t="s">
        <v>795</v>
      </c>
      <c r="B116" s="9">
        <v>1</v>
      </c>
      <c r="C116" s="10"/>
      <c r="D116" s="11">
        <v>650000</v>
      </c>
      <c r="E116" s="12"/>
      <c r="F116" s="24">
        <f>B116-E116</f>
        <v>1</v>
      </c>
    </row>
    <row r="117" spans="1:6" x14ac:dyDescent="0.35">
      <c r="A117" s="16" t="s">
        <v>77</v>
      </c>
      <c r="B117" s="9">
        <v>1</v>
      </c>
      <c r="C117" s="9"/>
      <c r="D117" s="11">
        <v>1350000</v>
      </c>
      <c r="E117" s="12">
        <v>1</v>
      </c>
      <c r="F117" s="24">
        <f>B117-E117</f>
        <v>0</v>
      </c>
    </row>
    <row r="118" spans="1:6" x14ac:dyDescent="0.35">
      <c r="A118" s="16" t="s">
        <v>80</v>
      </c>
      <c r="B118" s="9">
        <v>1</v>
      </c>
      <c r="C118" s="9"/>
      <c r="D118" s="11">
        <v>1330729.3999999999</v>
      </c>
      <c r="E118" s="12">
        <v>1</v>
      </c>
      <c r="F118" s="24">
        <f>B118-E118</f>
        <v>0</v>
      </c>
    </row>
    <row r="119" spans="1:6" x14ac:dyDescent="0.35">
      <c r="A119" s="9" t="s">
        <v>81</v>
      </c>
      <c r="B119" s="9">
        <v>2</v>
      </c>
      <c r="C119" s="9"/>
      <c r="D119" s="11">
        <v>750000</v>
      </c>
      <c r="E119" s="12">
        <v>2</v>
      </c>
      <c r="F119" s="24">
        <f>B119-E119</f>
        <v>0</v>
      </c>
    </row>
    <row r="120" spans="1:6" x14ac:dyDescent="0.35">
      <c r="A120" s="9" t="s">
        <v>82</v>
      </c>
      <c r="B120" s="9">
        <v>1</v>
      </c>
      <c r="C120" s="10" t="s">
        <v>83</v>
      </c>
      <c r="D120" s="11">
        <v>770000</v>
      </c>
      <c r="E120" s="12">
        <v>1</v>
      </c>
      <c r="F120" s="24">
        <f>B120-E120</f>
        <v>0</v>
      </c>
    </row>
    <row r="121" spans="1:6" ht="29" x14ac:dyDescent="0.35">
      <c r="A121" s="9" t="s">
        <v>82</v>
      </c>
      <c r="B121" s="9">
        <v>2</v>
      </c>
      <c r="C121" s="10" t="s">
        <v>84</v>
      </c>
      <c r="D121" s="11">
        <v>770000</v>
      </c>
      <c r="E121" s="12">
        <v>2</v>
      </c>
      <c r="F121" s="24">
        <f>B121-E121</f>
        <v>0</v>
      </c>
    </row>
    <row r="122" spans="1:6" ht="29" x14ac:dyDescent="0.35">
      <c r="A122" s="10" t="s">
        <v>85</v>
      </c>
      <c r="B122" s="9">
        <v>2</v>
      </c>
      <c r="C122" s="10"/>
      <c r="D122" s="11">
        <v>750000</v>
      </c>
      <c r="E122" s="12">
        <v>2</v>
      </c>
      <c r="F122" s="24">
        <f>B122-E122</f>
        <v>0</v>
      </c>
    </row>
    <row r="123" spans="1:6" x14ac:dyDescent="0.35">
      <c r="A123" s="9" t="s">
        <v>86</v>
      </c>
      <c r="B123" s="9">
        <v>2</v>
      </c>
      <c r="C123" s="10"/>
      <c r="D123" s="11">
        <v>710000</v>
      </c>
      <c r="E123" s="12">
        <v>2</v>
      </c>
      <c r="F123" s="24">
        <f>B123-E123</f>
        <v>0</v>
      </c>
    </row>
    <row r="124" spans="1:6" x14ac:dyDescent="0.35">
      <c r="A124" s="9" t="s">
        <v>87</v>
      </c>
      <c r="B124" s="9">
        <v>13</v>
      </c>
      <c r="C124" s="9"/>
      <c r="D124" s="20">
        <v>270000</v>
      </c>
      <c r="E124" s="12">
        <v>11</v>
      </c>
      <c r="F124" s="24">
        <f>B124-E124</f>
        <v>2</v>
      </c>
    </row>
    <row r="125" spans="1:6" x14ac:dyDescent="0.35">
      <c r="A125" s="9" t="s">
        <v>87</v>
      </c>
      <c r="B125" s="9">
        <v>9</v>
      </c>
      <c r="C125" s="9"/>
      <c r="D125" s="20">
        <v>250000</v>
      </c>
      <c r="E125" s="12">
        <v>9</v>
      </c>
      <c r="F125" s="24">
        <f>B125-E125</f>
        <v>0</v>
      </c>
    </row>
    <row r="126" spans="1:6" x14ac:dyDescent="0.35">
      <c r="A126" s="9" t="s">
        <v>796</v>
      </c>
      <c r="B126" s="9">
        <v>3</v>
      </c>
      <c r="C126" s="9"/>
      <c r="D126" s="20">
        <v>270000</v>
      </c>
      <c r="E126" s="12">
        <v>1</v>
      </c>
      <c r="F126" s="24">
        <f>B126-E126</f>
        <v>2</v>
      </c>
    </row>
    <row r="127" spans="1:6" x14ac:dyDescent="0.35">
      <c r="A127" s="9" t="s">
        <v>88</v>
      </c>
      <c r="B127" s="9">
        <v>48</v>
      </c>
      <c r="C127" s="9"/>
      <c r="D127" s="20">
        <v>220000</v>
      </c>
      <c r="E127" s="12">
        <v>40</v>
      </c>
      <c r="F127" s="24">
        <f>B127-E127</f>
        <v>8</v>
      </c>
    </row>
    <row r="128" spans="1:6" x14ac:dyDescent="0.35">
      <c r="A128" s="9" t="s">
        <v>88</v>
      </c>
      <c r="B128" s="9">
        <v>20</v>
      </c>
      <c r="C128" s="9"/>
      <c r="D128" s="20">
        <v>210000</v>
      </c>
      <c r="E128" s="12">
        <v>20</v>
      </c>
      <c r="F128" s="24">
        <f>B128-E128</f>
        <v>0</v>
      </c>
    </row>
    <row r="129" spans="1:6" x14ac:dyDescent="0.35">
      <c r="A129" s="18" t="s">
        <v>89</v>
      </c>
      <c r="B129" s="21">
        <v>52</v>
      </c>
      <c r="C129" s="9"/>
      <c r="D129" s="20">
        <v>220000</v>
      </c>
      <c r="E129" s="12">
        <v>39</v>
      </c>
      <c r="F129" s="24">
        <f>B129-E129</f>
        <v>13</v>
      </c>
    </row>
    <row r="130" spans="1:6" x14ac:dyDescent="0.35">
      <c r="A130" s="9" t="s">
        <v>89</v>
      </c>
      <c r="B130" s="21">
        <v>12</v>
      </c>
      <c r="C130" s="9"/>
      <c r="D130" s="20">
        <v>210000</v>
      </c>
      <c r="E130" s="12">
        <v>12</v>
      </c>
      <c r="F130" s="24">
        <f>B130-E130</f>
        <v>0</v>
      </c>
    </row>
    <row r="131" spans="1:6" ht="58" x14ac:dyDescent="0.35">
      <c r="A131" s="9" t="s">
        <v>90</v>
      </c>
      <c r="B131" s="9">
        <v>1</v>
      </c>
      <c r="C131" s="10" t="s">
        <v>91</v>
      </c>
      <c r="D131" s="20">
        <v>414001</v>
      </c>
      <c r="E131" s="12">
        <v>1</v>
      </c>
      <c r="F131" s="24">
        <f>B131-E131</f>
        <v>0</v>
      </c>
    </row>
    <row r="132" spans="1:6" x14ac:dyDescent="0.35">
      <c r="A132" s="9" t="s">
        <v>92</v>
      </c>
      <c r="B132" s="9">
        <v>3</v>
      </c>
      <c r="C132" s="9"/>
      <c r="D132" s="20">
        <v>214200</v>
      </c>
      <c r="E132" s="12">
        <v>2</v>
      </c>
      <c r="F132" s="24">
        <f>B132-E132</f>
        <v>1</v>
      </c>
    </row>
    <row r="133" spans="1:6" x14ac:dyDescent="0.35">
      <c r="A133" s="9" t="s">
        <v>92</v>
      </c>
      <c r="B133" s="9">
        <v>1</v>
      </c>
      <c r="C133" s="9"/>
      <c r="D133" s="20">
        <v>196350</v>
      </c>
      <c r="E133" s="12">
        <v>1</v>
      </c>
      <c r="F133" s="24">
        <f>B133-E133</f>
        <v>0</v>
      </c>
    </row>
    <row r="134" spans="1:6" x14ac:dyDescent="0.35">
      <c r="A134" s="9" t="s">
        <v>93</v>
      </c>
      <c r="B134" s="21">
        <v>1</v>
      </c>
      <c r="C134" s="9"/>
      <c r="D134" s="11">
        <v>180000</v>
      </c>
      <c r="E134" s="12">
        <v>1</v>
      </c>
      <c r="F134" s="24">
        <f>B134-E134</f>
        <v>0</v>
      </c>
    </row>
    <row r="135" spans="1:6" x14ac:dyDescent="0.35">
      <c r="A135" s="21" t="s">
        <v>797</v>
      </c>
      <c r="B135" s="9">
        <v>4</v>
      </c>
      <c r="C135" s="10"/>
      <c r="D135" s="11">
        <v>80000</v>
      </c>
      <c r="E135" s="12"/>
      <c r="F135" s="24">
        <f>B135-E135</f>
        <v>4</v>
      </c>
    </row>
    <row r="136" spans="1:6" x14ac:dyDescent="0.35">
      <c r="A136" s="9" t="s">
        <v>192</v>
      </c>
      <c r="B136" s="9">
        <v>12</v>
      </c>
      <c r="C136" s="10"/>
      <c r="D136" s="11">
        <v>80000</v>
      </c>
      <c r="E136" s="12">
        <v>2</v>
      </c>
      <c r="F136" s="24">
        <f>B136-E136</f>
        <v>10</v>
      </c>
    </row>
    <row r="137" spans="1:6" x14ac:dyDescent="0.35">
      <c r="A137" s="9" t="s">
        <v>94</v>
      </c>
      <c r="B137" s="21">
        <v>8</v>
      </c>
      <c r="C137" s="9"/>
      <c r="D137" s="11">
        <v>200000</v>
      </c>
      <c r="E137" s="12">
        <v>3</v>
      </c>
      <c r="F137" s="24">
        <f>B137-E137</f>
        <v>5</v>
      </c>
    </row>
    <row r="138" spans="1:6" x14ac:dyDescent="0.35">
      <c r="A138" s="9" t="s">
        <v>94</v>
      </c>
      <c r="B138" s="21">
        <v>15</v>
      </c>
      <c r="C138" s="9"/>
      <c r="D138" s="11">
        <v>190000</v>
      </c>
      <c r="E138" s="12">
        <v>15</v>
      </c>
      <c r="F138" s="24">
        <f>B138-E138</f>
        <v>0</v>
      </c>
    </row>
    <row r="139" spans="1:6" ht="58" x14ac:dyDescent="0.35">
      <c r="A139" s="9" t="s">
        <v>95</v>
      </c>
      <c r="B139" s="9">
        <v>1</v>
      </c>
      <c r="C139" s="10" t="s">
        <v>96</v>
      </c>
      <c r="D139" s="20">
        <v>892500</v>
      </c>
      <c r="E139" s="12"/>
      <c r="F139" s="24">
        <f>B139-E139</f>
        <v>1</v>
      </c>
    </row>
    <row r="140" spans="1:6" ht="58" x14ac:dyDescent="0.35">
      <c r="A140" s="9" t="s">
        <v>95</v>
      </c>
      <c r="B140" s="9">
        <v>3</v>
      </c>
      <c r="C140" s="10" t="s">
        <v>91</v>
      </c>
      <c r="D140" s="20">
        <v>885000</v>
      </c>
      <c r="E140" s="12">
        <v>3</v>
      </c>
      <c r="F140" s="24">
        <f>B140-E140</f>
        <v>0</v>
      </c>
    </row>
    <row r="141" spans="1:6" x14ac:dyDescent="0.35">
      <c r="A141" s="9" t="s">
        <v>95</v>
      </c>
      <c r="B141" s="9">
        <v>1</v>
      </c>
      <c r="C141" s="9"/>
      <c r="D141" s="20">
        <v>624750</v>
      </c>
      <c r="E141" s="12">
        <v>1</v>
      </c>
      <c r="F141" s="24">
        <f>B141-E141</f>
        <v>0</v>
      </c>
    </row>
    <row r="142" spans="1:6" ht="58" x14ac:dyDescent="0.35">
      <c r="A142" s="9" t="s">
        <v>97</v>
      </c>
      <c r="B142" s="9">
        <v>4</v>
      </c>
      <c r="C142" s="10" t="s">
        <v>98</v>
      </c>
      <c r="D142" s="20">
        <v>750000</v>
      </c>
      <c r="E142" s="12">
        <v>3</v>
      </c>
      <c r="F142" s="24">
        <f>B142-E142</f>
        <v>1</v>
      </c>
    </row>
    <row r="143" spans="1:6" x14ac:dyDescent="0.35">
      <c r="A143" s="9" t="s">
        <v>97</v>
      </c>
      <c r="B143" s="9">
        <v>2</v>
      </c>
      <c r="C143" s="9"/>
      <c r="D143" s="20">
        <v>400000</v>
      </c>
      <c r="E143" s="12"/>
      <c r="F143" s="24">
        <f>B143-E143</f>
        <v>2</v>
      </c>
    </row>
    <row r="144" spans="1:6" x14ac:dyDescent="0.35">
      <c r="A144" s="9" t="s">
        <v>97</v>
      </c>
      <c r="B144" s="9">
        <v>7</v>
      </c>
      <c r="C144" s="9"/>
      <c r="D144" s="20">
        <v>320000</v>
      </c>
      <c r="E144" s="12">
        <v>7</v>
      </c>
      <c r="F144" s="24">
        <f>B144-E144</f>
        <v>0</v>
      </c>
    </row>
    <row r="145" spans="1:6" x14ac:dyDescent="0.35">
      <c r="A145" s="9" t="s">
        <v>97</v>
      </c>
      <c r="B145" s="9">
        <v>2</v>
      </c>
      <c r="C145" s="9"/>
      <c r="D145" s="20">
        <v>303450</v>
      </c>
      <c r="E145" s="12">
        <v>2</v>
      </c>
      <c r="F145" s="24">
        <f>B145-E145</f>
        <v>0</v>
      </c>
    </row>
    <row r="146" spans="1:6" x14ac:dyDescent="0.35">
      <c r="A146" s="9" t="s">
        <v>798</v>
      </c>
      <c r="B146" s="9">
        <v>1</v>
      </c>
      <c r="C146" s="9"/>
      <c r="D146" s="20">
        <v>400000</v>
      </c>
      <c r="E146" s="12"/>
      <c r="F146" s="24">
        <f>B146-E146</f>
        <v>1</v>
      </c>
    </row>
    <row r="147" spans="1:6" x14ac:dyDescent="0.35">
      <c r="A147" s="9" t="s">
        <v>99</v>
      </c>
      <c r="B147" s="9">
        <v>1</v>
      </c>
      <c r="C147" s="9"/>
      <c r="D147" s="20">
        <v>303450</v>
      </c>
      <c r="E147" s="12">
        <v>1</v>
      </c>
      <c r="F147" s="24">
        <f>B147-E147</f>
        <v>0</v>
      </c>
    </row>
    <row r="148" spans="1:6" x14ac:dyDescent="0.35">
      <c r="A148" s="9" t="s">
        <v>101</v>
      </c>
      <c r="B148" s="9">
        <v>3</v>
      </c>
      <c r="C148" s="9"/>
      <c r="D148" s="20">
        <v>380000</v>
      </c>
      <c r="E148" s="12">
        <v>1</v>
      </c>
      <c r="F148" s="24">
        <f>B148-E148</f>
        <v>2</v>
      </c>
    </row>
    <row r="149" spans="1:6" x14ac:dyDescent="0.35">
      <c r="A149" s="9" t="s">
        <v>100</v>
      </c>
      <c r="B149" s="9">
        <v>1</v>
      </c>
      <c r="C149" s="9"/>
      <c r="D149" s="20">
        <v>320000</v>
      </c>
      <c r="E149" s="12">
        <v>1</v>
      </c>
      <c r="F149" s="24">
        <f>B149-E149</f>
        <v>0</v>
      </c>
    </row>
    <row r="150" spans="1:6" x14ac:dyDescent="0.35">
      <c r="A150" s="9" t="s">
        <v>102</v>
      </c>
      <c r="B150" s="9">
        <v>5</v>
      </c>
      <c r="C150" s="9"/>
      <c r="D150" s="11">
        <v>480000</v>
      </c>
      <c r="E150" s="12">
        <v>2</v>
      </c>
      <c r="F150" s="24">
        <f>B150-E150</f>
        <v>3</v>
      </c>
    </row>
    <row r="151" spans="1:6" ht="58" x14ac:dyDescent="0.35">
      <c r="A151" s="9" t="s">
        <v>102</v>
      </c>
      <c r="B151" s="16">
        <v>2</v>
      </c>
      <c r="C151" s="10" t="s">
        <v>98</v>
      </c>
      <c r="D151" s="11">
        <v>750000</v>
      </c>
      <c r="E151" s="12"/>
      <c r="F151" s="24">
        <f>B151-E151</f>
        <v>2</v>
      </c>
    </row>
    <row r="152" spans="1:6" ht="58" x14ac:dyDescent="0.35">
      <c r="A152" s="9" t="s">
        <v>102</v>
      </c>
      <c r="B152" s="16">
        <v>2</v>
      </c>
      <c r="C152" s="10" t="s">
        <v>98</v>
      </c>
      <c r="D152" s="11">
        <v>750000</v>
      </c>
      <c r="E152" s="12">
        <v>2</v>
      </c>
      <c r="F152" s="24">
        <f>B152-E152</f>
        <v>0</v>
      </c>
    </row>
    <row r="153" spans="1:6" ht="58" x14ac:dyDescent="0.35">
      <c r="A153" s="9" t="s">
        <v>102</v>
      </c>
      <c r="B153" s="16">
        <v>1</v>
      </c>
      <c r="C153" s="10" t="s">
        <v>103</v>
      </c>
      <c r="D153" s="11">
        <v>750000</v>
      </c>
      <c r="E153" s="12">
        <v>1</v>
      </c>
      <c r="F153" s="24">
        <f>B153-E153</f>
        <v>0</v>
      </c>
    </row>
    <row r="154" spans="1:6" x14ac:dyDescent="0.35">
      <c r="A154" s="9" t="s">
        <v>799</v>
      </c>
      <c r="B154" s="9">
        <v>2</v>
      </c>
      <c r="C154" s="10"/>
      <c r="D154" s="11">
        <v>580000</v>
      </c>
      <c r="E154" s="12"/>
      <c r="F154" s="24">
        <f>B154-E154</f>
        <v>2</v>
      </c>
    </row>
    <row r="155" spans="1:6" x14ac:dyDescent="0.35">
      <c r="A155" s="9" t="s">
        <v>183</v>
      </c>
      <c r="B155" s="9">
        <v>4</v>
      </c>
      <c r="C155" s="10"/>
      <c r="D155" s="11">
        <v>50000</v>
      </c>
      <c r="E155" s="12"/>
      <c r="F155" s="24">
        <f>B155-E155</f>
        <v>4</v>
      </c>
    </row>
    <row r="156" spans="1:6" x14ac:dyDescent="0.35">
      <c r="A156" s="9" t="s">
        <v>104</v>
      </c>
      <c r="B156" s="14">
        <v>1</v>
      </c>
      <c r="C156" s="15"/>
      <c r="D156" s="11">
        <v>60000</v>
      </c>
      <c r="E156" s="12"/>
      <c r="F156" s="24">
        <f>B156-E156</f>
        <v>1</v>
      </c>
    </row>
    <row r="157" spans="1:6" x14ac:dyDescent="0.35">
      <c r="A157" s="9" t="s">
        <v>105</v>
      </c>
      <c r="B157" s="14">
        <v>1</v>
      </c>
      <c r="C157" s="15"/>
      <c r="D157" s="11">
        <v>68000</v>
      </c>
      <c r="E157" s="12"/>
      <c r="F157" s="24">
        <f>B157-E157</f>
        <v>1</v>
      </c>
    </row>
    <row r="158" spans="1:6" x14ac:dyDescent="0.35">
      <c r="A158" s="9" t="s">
        <v>106</v>
      </c>
      <c r="B158" s="9">
        <v>1</v>
      </c>
      <c r="C158" s="10"/>
      <c r="D158" s="11">
        <v>85000</v>
      </c>
      <c r="E158" s="12"/>
      <c r="F158" s="24">
        <f>B158-E158</f>
        <v>1</v>
      </c>
    </row>
    <row r="159" spans="1:6" x14ac:dyDescent="0.35">
      <c r="A159" s="9" t="s">
        <v>107</v>
      </c>
      <c r="B159" s="9">
        <v>1</v>
      </c>
      <c r="C159" s="10"/>
      <c r="D159" s="11">
        <v>92000</v>
      </c>
      <c r="E159" s="12"/>
      <c r="F159" s="24">
        <f>B159-E159</f>
        <v>1</v>
      </c>
    </row>
    <row r="160" spans="1:6" x14ac:dyDescent="0.35">
      <c r="A160" s="21" t="s">
        <v>800</v>
      </c>
      <c r="B160" s="9">
        <v>10</v>
      </c>
      <c r="C160" s="10"/>
      <c r="D160" s="11">
        <v>20000</v>
      </c>
      <c r="E160" s="12"/>
      <c r="F160" s="24">
        <f>B160-E160</f>
        <v>10</v>
      </c>
    </row>
    <row r="161" spans="1:6" x14ac:dyDescent="0.35">
      <c r="A161" s="9" t="s">
        <v>108</v>
      </c>
      <c r="B161" s="21">
        <v>1</v>
      </c>
      <c r="C161" s="9"/>
      <c r="D161" s="11">
        <v>320000</v>
      </c>
      <c r="E161" s="9"/>
      <c r="F161" s="24">
        <f>B161-E161</f>
        <v>1</v>
      </c>
    </row>
    <row r="162" spans="1:6" x14ac:dyDescent="0.35">
      <c r="A162" s="9" t="s">
        <v>109</v>
      </c>
      <c r="B162" s="9">
        <v>4</v>
      </c>
      <c r="C162" s="10"/>
      <c r="D162" s="11">
        <v>450000</v>
      </c>
      <c r="E162" s="12">
        <v>2</v>
      </c>
      <c r="F162" s="24">
        <f>B162-E162</f>
        <v>2</v>
      </c>
    </row>
    <row r="163" spans="1:6" x14ac:dyDescent="0.35">
      <c r="A163" s="9" t="s">
        <v>801</v>
      </c>
      <c r="B163" s="21">
        <v>1</v>
      </c>
      <c r="C163" s="9"/>
      <c r="D163" s="11">
        <v>550000</v>
      </c>
      <c r="E163" s="9"/>
      <c r="F163" s="24">
        <f>B163-E163</f>
        <v>1</v>
      </c>
    </row>
    <row r="164" spans="1:6" x14ac:dyDescent="0.35">
      <c r="A164" s="9" t="s">
        <v>802</v>
      </c>
      <c r="B164" s="9">
        <v>2</v>
      </c>
      <c r="C164" s="10"/>
      <c r="D164" s="11">
        <v>90000</v>
      </c>
      <c r="E164" s="12"/>
      <c r="F164" s="24">
        <f>B164-E164</f>
        <v>2</v>
      </c>
    </row>
    <row r="165" spans="1:6" x14ac:dyDescent="0.35">
      <c r="A165" s="9" t="s">
        <v>803</v>
      </c>
      <c r="B165" s="9">
        <v>3</v>
      </c>
      <c r="C165" s="10"/>
      <c r="D165" s="11">
        <v>95000</v>
      </c>
      <c r="E165" s="12"/>
      <c r="F165" s="24">
        <f>B165-E165</f>
        <v>3</v>
      </c>
    </row>
    <row r="166" spans="1:6" x14ac:dyDescent="0.35">
      <c r="A166" s="9" t="s">
        <v>804</v>
      </c>
      <c r="B166" s="9">
        <v>1</v>
      </c>
      <c r="C166" s="10"/>
      <c r="D166" s="11">
        <v>60000</v>
      </c>
      <c r="E166" s="12"/>
      <c r="F166" s="24">
        <f>B166-E166</f>
        <v>1</v>
      </c>
    </row>
    <row r="167" spans="1:6" x14ac:dyDescent="0.35">
      <c r="A167" s="21" t="s">
        <v>805</v>
      </c>
      <c r="B167" s="9">
        <v>4</v>
      </c>
      <c r="C167" s="10"/>
      <c r="D167" s="11">
        <v>75000</v>
      </c>
      <c r="E167" s="12"/>
      <c r="F167" s="24">
        <f>B167-E167</f>
        <v>4</v>
      </c>
    </row>
    <row r="168" spans="1:6" x14ac:dyDescent="0.35">
      <c r="A168" s="9" t="s">
        <v>110</v>
      </c>
      <c r="B168" s="9">
        <v>5</v>
      </c>
      <c r="C168" s="10"/>
      <c r="D168" s="11">
        <v>36000</v>
      </c>
      <c r="E168" s="12">
        <v>4</v>
      </c>
      <c r="F168" s="24">
        <f>B168-E168</f>
        <v>1</v>
      </c>
    </row>
    <row r="169" spans="1:6" x14ac:dyDescent="0.35">
      <c r="A169" s="21" t="s">
        <v>806</v>
      </c>
      <c r="B169" s="9">
        <v>2</v>
      </c>
      <c r="C169" s="10"/>
      <c r="D169" s="11">
        <v>45000</v>
      </c>
      <c r="E169" s="12"/>
      <c r="F169" s="24">
        <f>B169-E169</f>
        <v>2</v>
      </c>
    </row>
    <row r="170" spans="1:6" x14ac:dyDescent="0.35">
      <c r="A170" s="21" t="s">
        <v>807</v>
      </c>
      <c r="B170" s="9">
        <v>5</v>
      </c>
      <c r="C170" s="10"/>
      <c r="D170" s="11">
        <v>36000</v>
      </c>
      <c r="E170" s="12"/>
      <c r="F170" s="24">
        <f>B170-E170</f>
        <v>5</v>
      </c>
    </row>
    <row r="171" spans="1:6" x14ac:dyDescent="0.35">
      <c r="A171" s="9" t="s">
        <v>808</v>
      </c>
      <c r="B171" s="9">
        <v>4</v>
      </c>
      <c r="C171" s="10"/>
      <c r="D171" s="11">
        <v>140000</v>
      </c>
      <c r="E171" s="12">
        <v>1</v>
      </c>
      <c r="F171" s="24">
        <f>B171-E171</f>
        <v>3</v>
      </c>
    </row>
    <row r="172" spans="1:6" ht="29" x14ac:dyDescent="0.35">
      <c r="A172" s="10" t="s">
        <v>111</v>
      </c>
      <c r="B172" s="9">
        <v>10</v>
      </c>
      <c r="C172" s="10"/>
      <c r="D172" s="11">
        <v>120000</v>
      </c>
      <c r="E172" s="12">
        <v>2</v>
      </c>
      <c r="F172" s="24">
        <f>B172-E172</f>
        <v>8</v>
      </c>
    </row>
    <row r="173" spans="1:6" x14ac:dyDescent="0.35">
      <c r="A173" s="9" t="s">
        <v>112</v>
      </c>
      <c r="B173" s="9">
        <v>1</v>
      </c>
      <c r="C173" s="10"/>
      <c r="D173" s="11">
        <v>600000</v>
      </c>
      <c r="E173" s="12">
        <v>1</v>
      </c>
      <c r="F173" s="24">
        <f>B173-E173</f>
        <v>0</v>
      </c>
    </row>
    <row r="174" spans="1:6" x14ac:dyDescent="0.35">
      <c r="A174" s="9" t="s">
        <v>113</v>
      </c>
      <c r="B174" s="9">
        <v>2</v>
      </c>
      <c r="C174" s="10"/>
      <c r="D174" s="11">
        <v>190000</v>
      </c>
      <c r="E174" s="12">
        <v>2</v>
      </c>
      <c r="F174" s="24">
        <f>B174-E174</f>
        <v>0</v>
      </c>
    </row>
    <row r="175" spans="1:6" x14ac:dyDescent="0.35">
      <c r="A175" s="9" t="s">
        <v>114</v>
      </c>
      <c r="B175" s="14">
        <v>2</v>
      </c>
      <c r="C175" s="9"/>
      <c r="D175" s="11">
        <v>40000</v>
      </c>
      <c r="E175" s="12">
        <v>2</v>
      </c>
      <c r="F175" s="24">
        <f>B175-E175</f>
        <v>0</v>
      </c>
    </row>
    <row r="176" spans="1:6" x14ac:dyDescent="0.35">
      <c r="A176" s="9" t="s">
        <v>114</v>
      </c>
      <c r="B176" s="9">
        <v>2</v>
      </c>
      <c r="C176" s="10"/>
      <c r="D176" s="11">
        <v>40000</v>
      </c>
      <c r="E176" s="12"/>
      <c r="F176" s="24">
        <f>B176-E176</f>
        <v>2</v>
      </c>
    </row>
    <row r="177" spans="1:6" x14ac:dyDescent="0.35">
      <c r="A177" s="9" t="s">
        <v>115</v>
      </c>
      <c r="B177" s="14">
        <v>2</v>
      </c>
      <c r="C177" s="9"/>
      <c r="D177" s="11">
        <v>40000</v>
      </c>
      <c r="E177" s="12">
        <v>2</v>
      </c>
      <c r="F177" s="24">
        <f>B177-E177</f>
        <v>0</v>
      </c>
    </row>
    <row r="178" spans="1:6" x14ac:dyDescent="0.35">
      <c r="A178" s="9" t="s">
        <v>115</v>
      </c>
      <c r="B178" s="9">
        <v>2</v>
      </c>
      <c r="C178" s="10"/>
      <c r="D178" s="11">
        <v>40000</v>
      </c>
      <c r="E178" s="12">
        <v>1</v>
      </c>
      <c r="F178" s="24">
        <f>B178-E178</f>
        <v>1</v>
      </c>
    </row>
    <row r="179" spans="1:6" x14ac:dyDescent="0.35">
      <c r="A179" s="9" t="s">
        <v>116</v>
      </c>
      <c r="B179" s="14">
        <v>2</v>
      </c>
      <c r="C179" s="9"/>
      <c r="D179" s="11">
        <v>40000</v>
      </c>
      <c r="E179" s="12">
        <v>2</v>
      </c>
      <c r="F179" s="24">
        <f>B179-E179</f>
        <v>0</v>
      </c>
    </row>
    <row r="180" spans="1:6" x14ac:dyDescent="0.35">
      <c r="A180" s="18" t="s">
        <v>116</v>
      </c>
      <c r="B180" s="9">
        <v>2</v>
      </c>
      <c r="C180" s="10"/>
      <c r="D180" s="11">
        <v>40000</v>
      </c>
      <c r="E180" s="12">
        <v>2</v>
      </c>
      <c r="F180" s="24">
        <f>B180-E180</f>
        <v>0</v>
      </c>
    </row>
    <row r="181" spans="1:6" x14ac:dyDescent="0.35">
      <c r="A181" s="18" t="s">
        <v>117</v>
      </c>
      <c r="B181" s="9">
        <v>2</v>
      </c>
      <c r="C181" s="10"/>
      <c r="D181" s="11">
        <v>40000</v>
      </c>
      <c r="E181" s="12"/>
      <c r="F181" s="24">
        <f>B181-E181</f>
        <v>2</v>
      </c>
    </row>
    <row r="182" spans="1:6" x14ac:dyDescent="0.35">
      <c r="A182" s="9" t="s">
        <v>118</v>
      </c>
      <c r="B182" s="14">
        <v>2</v>
      </c>
      <c r="C182" s="9"/>
      <c r="D182" s="11">
        <v>40000</v>
      </c>
      <c r="E182" s="12">
        <v>2</v>
      </c>
      <c r="F182" s="24">
        <f>B182-E182</f>
        <v>0</v>
      </c>
    </row>
    <row r="183" spans="1:6" x14ac:dyDescent="0.35">
      <c r="A183" s="9" t="s">
        <v>118</v>
      </c>
      <c r="B183" s="9">
        <v>6</v>
      </c>
      <c r="C183" s="10"/>
      <c r="D183" s="11">
        <v>40000</v>
      </c>
      <c r="E183" s="12">
        <v>2</v>
      </c>
      <c r="F183" s="24">
        <f>B183-E183</f>
        <v>4</v>
      </c>
    </row>
    <row r="184" spans="1:6" x14ac:dyDescent="0.35">
      <c r="A184" s="9" t="s">
        <v>119</v>
      </c>
      <c r="B184" s="9">
        <v>2</v>
      </c>
      <c r="C184" s="10"/>
      <c r="D184" s="11">
        <v>40000</v>
      </c>
      <c r="E184" s="12"/>
      <c r="F184" s="24">
        <f>B184-E184</f>
        <v>2</v>
      </c>
    </row>
    <row r="185" spans="1:6" x14ac:dyDescent="0.35">
      <c r="A185" s="9" t="s">
        <v>120</v>
      </c>
      <c r="B185" s="9">
        <v>8</v>
      </c>
      <c r="C185" s="22"/>
      <c r="D185" s="15">
        <v>55000</v>
      </c>
      <c r="E185" s="12">
        <v>8</v>
      </c>
      <c r="F185" s="24">
        <f>B185-E185</f>
        <v>0</v>
      </c>
    </row>
    <row r="186" spans="1:6" x14ac:dyDescent="0.35">
      <c r="A186" s="9" t="s">
        <v>120</v>
      </c>
      <c r="B186" s="9">
        <v>8</v>
      </c>
      <c r="C186" s="10"/>
      <c r="D186" s="11">
        <v>50000</v>
      </c>
      <c r="E186" s="12"/>
      <c r="F186" s="24">
        <f>B186-E186</f>
        <v>8</v>
      </c>
    </row>
    <row r="187" spans="1:6" x14ac:dyDescent="0.35">
      <c r="A187" s="9" t="s">
        <v>121</v>
      </c>
      <c r="B187" s="9">
        <v>3</v>
      </c>
      <c r="C187" s="22"/>
      <c r="D187" s="15">
        <v>46200</v>
      </c>
      <c r="E187" s="12">
        <v>3</v>
      </c>
      <c r="F187" s="24">
        <f>B187-E187</f>
        <v>0</v>
      </c>
    </row>
    <row r="188" spans="1:6" x14ac:dyDescent="0.35">
      <c r="A188" s="9" t="s">
        <v>121</v>
      </c>
      <c r="B188" s="9">
        <v>5</v>
      </c>
      <c r="C188" s="10"/>
      <c r="D188" s="11">
        <v>46000</v>
      </c>
      <c r="E188" s="12"/>
      <c r="F188" s="24">
        <f>B188-E188</f>
        <v>5</v>
      </c>
    </row>
    <row r="189" spans="1:6" x14ac:dyDescent="0.35">
      <c r="A189" s="9" t="s">
        <v>122</v>
      </c>
      <c r="B189" s="9">
        <v>22</v>
      </c>
      <c r="C189" s="22"/>
      <c r="D189" s="15">
        <v>35000</v>
      </c>
      <c r="E189" s="12">
        <v>17</v>
      </c>
      <c r="F189" s="24">
        <f>B189-E189</f>
        <v>5</v>
      </c>
    </row>
    <row r="190" spans="1:6" x14ac:dyDescent="0.35">
      <c r="A190" s="10" t="s">
        <v>123</v>
      </c>
      <c r="B190" s="9">
        <v>3</v>
      </c>
      <c r="C190" s="10"/>
      <c r="D190" s="11">
        <v>36000</v>
      </c>
      <c r="E190" s="12"/>
      <c r="F190" s="24">
        <f>B190-E190</f>
        <v>3</v>
      </c>
    </row>
    <row r="191" spans="1:6" x14ac:dyDescent="0.35">
      <c r="A191" s="9" t="s">
        <v>124</v>
      </c>
      <c r="B191" s="21">
        <v>2</v>
      </c>
      <c r="C191" s="9"/>
      <c r="D191" s="11">
        <v>38000</v>
      </c>
      <c r="E191" s="12">
        <v>2</v>
      </c>
      <c r="F191" s="24">
        <f>B191-E191</f>
        <v>0</v>
      </c>
    </row>
    <row r="192" spans="1:6" x14ac:dyDescent="0.35">
      <c r="A192" s="9" t="s">
        <v>125</v>
      </c>
      <c r="B192" s="21">
        <v>2</v>
      </c>
      <c r="C192" s="9"/>
      <c r="D192" s="11">
        <v>44000</v>
      </c>
      <c r="E192" s="12">
        <v>2</v>
      </c>
      <c r="F192" s="24">
        <f>B192-E192</f>
        <v>0</v>
      </c>
    </row>
    <row r="193" spans="1:6" x14ac:dyDescent="0.35">
      <c r="A193" s="9" t="s">
        <v>126</v>
      </c>
      <c r="B193" s="16">
        <v>1</v>
      </c>
      <c r="C193" s="16" t="s">
        <v>127</v>
      </c>
      <c r="D193" s="11">
        <v>3500000</v>
      </c>
      <c r="E193" s="12">
        <v>1</v>
      </c>
      <c r="F193" s="24">
        <f>B193-E193</f>
        <v>0</v>
      </c>
    </row>
    <row r="194" spans="1:6" x14ac:dyDescent="0.35">
      <c r="A194" s="9" t="s">
        <v>128</v>
      </c>
      <c r="B194" s="9">
        <v>1</v>
      </c>
      <c r="C194" s="10"/>
      <c r="D194" s="11">
        <v>1900000</v>
      </c>
      <c r="E194" s="12">
        <v>1</v>
      </c>
      <c r="F194" s="24">
        <f>B194-E194</f>
        <v>0</v>
      </c>
    </row>
    <row r="195" spans="1:6" x14ac:dyDescent="0.35">
      <c r="A195" s="9" t="s">
        <v>128</v>
      </c>
      <c r="B195" s="9">
        <v>2</v>
      </c>
      <c r="C195" s="10"/>
      <c r="D195" s="11">
        <v>1500000</v>
      </c>
      <c r="E195" s="12">
        <v>1</v>
      </c>
      <c r="F195" s="24">
        <f>B195-E195</f>
        <v>1</v>
      </c>
    </row>
    <row r="196" spans="1:6" x14ac:dyDescent="0.35">
      <c r="A196" s="9" t="s">
        <v>809</v>
      </c>
      <c r="B196" s="9">
        <v>1</v>
      </c>
      <c r="C196" s="10"/>
      <c r="D196" s="11">
        <v>299000</v>
      </c>
      <c r="E196" s="12"/>
      <c r="F196" s="24">
        <f>B196-E196</f>
        <v>1</v>
      </c>
    </row>
    <row r="197" spans="1:6" x14ac:dyDescent="0.35">
      <c r="A197" s="9" t="s">
        <v>184</v>
      </c>
      <c r="B197" s="9">
        <v>1</v>
      </c>
      <c r="C197" s="10"/>
      <c r="D197" s="11">
        <v>240000</v>
      </c>
      <c r="E197" s="12"/>
      <c r="F197" s="24">
        <f>B197-E197</f>
        <v>1</v>
      </c>
    </row>
    <row r="198" spans="1:6" x14ac:dyDescent="0.35">
      <c r="A198" s="9" t="s">
        <v>129</v>
      </c>
      <c r="B198" s="9">
        <v>2</v>
      </c>
      <c r="C198" s="10"/>
      <c r="D198" s="11">
        <v>300000</v>
      </c>
      <c r="E198" s="12"/>
      <c r="F198" s="24">
        <f>B198-E198</f>
        <v>2</v>
      </c>
    </row>
    <row r="199" spans="1:6" ht="58" x14ac:dyDescent="0.35">
      <c r="A199" s="10" t="s">
        <v>130</v>
      </c>
      <c r="B199" s="9">
        <v>1</v>
      </c>
      <c r="C199" s="10" t="s">
        <v>103</v>
      </c>
      <c r="D199" s="20">
        <v>1186800</v>
      </c>
      <c r="E199" s="12">
        <v>1</v>
      </c>
      <c r="F199" s="24">
        <f>B199-E199</f>
        <v>0</v>
      </c>
    </row>
    <row r="200" spans="1:6" x14ac:dyDescent="0.35">
      <c r="A200" s="9" t="s">
        <v>131</v>
      </c>
      <c r="B200" s="9">
        <v>2</v>
      </c>
      <c r="C200" s="10"/>
      <c r="D200" s="11">
        <v>110000</v>
      </c>
      <c r="E200" s="12"/>
      <c r="F200" s="24">
        <f>B200-E200</f>
        <v>2</v>
      </c>
    </row>
    <row r="201" spans="1:6" x14ac:dyDescent="0.35">
      <c r="A201" s="9" t="s">
        <v>132</v>
      </c>
      <c r="B201" s="9">
        <v>1</v>
      </c>
      <c r="C201" s="10"/>
      <c r="D201" s="11">
        <v>80000</v>
      </c>
      <c r="E201" s="12">
        <v>1</v>
      </c>
      <c r="F201" s="24">
        <f>B201-E201</f>
        <v>0</v>
      </c>
    </row>
    <row r="202" spans="1:6" x14ac:dyDescent="0.35">
      <c r="A202" s="10" t="s">
        <v>133</v>
      </c>
      <c r="B202" s="9">
        <v>5</v>
      </c>
      <c r="C202" s="10"/>
      <c r="D202" s="11">
        <v>180000</v>
      </c>
      <c r="E202" s="12">
        <v>4</v>
      </c>
      <c r="F202" s="24">
        <f>B202-E202</f>
        <v>1</v>
      </c>
    </row>
    <row r="203" spans="1:6" x14ac:dyDescent="0.35">
      <c r="A203" s="21" t="s">
        <v>810</v>
      </c>
      <c r="B203" s="9">
        <v>4</v>
      </c>
      <c r="C203" s="10"/>
      <c r="D203" s="11">
        <v>50000</v>
      </c>
      <c r="E203" s="12"/>
      <c r="F203" s="24">
        <f>B203-E203</f>
        <v>4</v>
      </c>
    </row>
    <row r="204" spans="1:6" x14ac:dyDescent="0.35">
      <c r="A204" s="21" t="s">
        <v>811</v>
      </c>
      <c r="B204" s="9">
        <v>1</v>
      </c>
      <c r="C204" s="10"/>
      <c r="D204" s="11">
        <v>75000</v>
      </c>
      <c r="E204" s="12"/>
      <c r="F204" s="24">
        <f>B204-E204</f>
        <v>1</v>
      </c>
    </row>
    <row r="205" spans="1:6" x14ac:dyDescent="0.35">
      <c r="A205" s="21" t="s">
        <v>812</v>
      </c>
      <c r="B205" s="9">
        <v>4</v>
      </c>
      <c r="C205" s="10"/>
      <c r="D205" s="11">
        <v>80000</v>
      </c>
      <c r="E205" s="12"/>
      <c r="F205" s="24">
        <f>B205-E205</f>
        <v>4</v>
      </c>
    </row>
    <row r="206" spans="1:6" x14ac:dyDescent="0.35">
      <c r="A206" s="21" t="s">
        <v>813</v>
      </c>
      <c r="B206" s="9">
        <v>1</v>
      </c>
      <c r="C206" s="10"/>
      <c r="D206" s="11">
        <v>170000</v>
      </c>
      <c r="E206" s="12"/>
      <c r="F206" s="24">
        <f>B206-E206</f>
        <v>1</v>
      </c>
    </row>
    <row r="207" spans="1:6" x14ac:dyDescent="0.35">
      <c r="A207" s="21" t="s">
        <v>814</v>
      </c>
      <c r="B207" s="9">
        <v>1</v>
      </c>
      <c r="C207" s="10"/>
      <c r="D207" s="11">
        <v>210000</v>
      </c>
      <c r="E207" s="12"/>
      <c r="F207" s="24">
        <f>B207-E207</f>
        <v>1</v>
      </c>
    </row>
    <row r="208" spans="1:6" x14ac:dyDescent="0.35">
      <c r="A208" s="21" t="s">
        <v>815</v>
      </c>
      <c r="B208" s="9">
        <v>3</v>
      </c>
      <c r="C208" s="10"/>
      <c r="D208" s="11">
        <v>210000</v>
      </c>
      <c r="E208" s="12"/>
      <c r="F208" s="24">
        <f>B208-E208</f>
        <v>3</v>
      </c>
    </row>
    <row r="209" spans="1:6" x14ac:dyDescent="0.35">
      <c r="A209" s="21" t="s">
        <v>816</v>
      </c>
      <c r="B209" s="9">
        <v>3</v>
      </c>
      <c r="C209" s="10"/>
      <c r="D209" s="11">
        <v>300000</v>
      </c>
      <c r="E209" s="12">
        <v>1</v>
      </c>
      <c r="F209" s="24">
        <f>B209-E209</f>
        <v>2</v>
      </c>
    </row>
    <row r="210" spans="1:6" x14ac:dyDescent="0.35">
      <c r="A210" s="21" t="s">
        <v>817</v>
      </c>
      <c r="B210" s="9">
        <v>2</v>
      </c>
      <c r="C210" s="10"/>
      <c r="D210" s="11">
        <v>400000</v>
      </c>
      <c r="E210" s="12"/>
      <c r="F210" s="24">
        <f>B210-E210</f>
        <v>2</v>
      </c>
    </row>
    <row r="211" spans="1:6" x14ac:dyDescent="0.35">
      <c r="A211" s="9" t="s">
        <v>134</v>
      </c>
      <c r="B211" s="9">
        <v>3</v>
      </c>
      <c r="C211" s="10"/>
      <c r="D211" s="11">
        <v>35000</v>
      </c>
      <c r="E211" s="12">
        <v>3</v>
      </c>
      <c r="F211" s="24">
        <f>B211-E211</f>
        <v>0</v>
      </c>
    </row>
    <row r="212" spans="1:6" x14ac:dyDescent="0.35">
      <c r="A212" s="9" t="s">
        <v>135</v>
      </c>
      <c r="B212" s="9">
        <v>4</v>
      </c>
      <c r="C212" s="10"/>
      <c r="D212" s="11">
        <v>150000</v>
      </c>
      <c r="E212" s="12">
        <v>4</v>
      </c>
      <c r="F212" s="24">
        <f>B212-E212</f>
        <v>0</v>
      </c>
    </row>
    <row r="213" spans="1:6" x14ac:dyDescent="0.35">
      <c r="A213" s="9" t="s">
        <v>185</v>
      </c>
      <c r="B213" s="9">
        <v>1</v>
      </c>
      <c r="C213" s="10"/>
      <c r="D213" s="11">
        <v>820000</v>
      </c>
      <c r="E213" s="12"/>
      <c r="F213" s="24">
        <f>B213-E213</f>
        <v>1</v>
      </c>
    </row>
    <row r="214" spans="1:6" x14ac:dyDescent="0.35">
      <c r="A214" s="9" t="s">
        <v>136</v>
      </c>
      <c r="B214" s="21">
        <v>2</v>
      </c>
      <c r="C214" s="9"/>
      <c r="D214" s="15">
        <v>750000</v>
      </c>
      <c r="E214" s="12">
        <v>2</v>
      </c>
      <c r="F214" s="24">
        <f>B214-E214</f>
        <v>0</v>
      </c>
    </row>
    <row r="215" spans="1:6" x14ac:dyDescent="0.35">
      <c r="A215" s="9" t="s">
        <v>137</v>
      </c>
      <c r="B215" s="16">
        <v>1</v>
      </c>
      <c r="C215" s="16" t="s">
        <v>127</v>
      </c>
      <c r="D215" s="11">
        <v>1922737.1456249999</v>
      </c>
      <c r="E215" s="12">
        <v>1</v>
      </c>
      <c r="F215" s="24">
        <f>B215-E215</f>
        <v>0</v>
      </c>
    </row>
    <row r="216" spans="1:6" x14ac:dyDescent="0.35">
      <c r="A216" s="9" t="s">
        <v>186</v>
      </c>
      <c r="B216" s="9">
        <v>2</v>
      </c>
      <c r="C216" s="10"/>
      <c r="D216" s="11">
        <v>1970000</v>
      </c>
      <c r="E216" s="12">
        <v>1</v>
      </c>
      <c r="F216" s="24">
        <f>B216-E216</f>
        <v>1</v>
      </c>
    </row>
    <row r="217" spans="1:6" x14ac:dyDescent="0.35">
      <c r="A217" s="9" t="s">
        <v>138</v>
      </c>
      <c r="B217" s="27">
        <v>1</v>
      </c>
      <c r="C217" s="27"/>
      <c r="D217" s="11">
        <v>1042237.21</v>
      </c>
      <c r="E217" s="12">
        <v>1</v>
      </c>
      <c r="F217" s="24">
        <f>B217-E217</f>
        <v>0</v>
      </c>
    </row>
    <row r="218" spans="1:6" x14ac:dyDescent="0.35">
      <c r="A218" s="9" t="s">
        <v>139</v>
      </c>
      <c r="B218" s="9">
        <v>4</v>
      </c>
      <c r="C218" s="10"/>
      <c r="D218" s="11">
        <v>790000</v>
      </c>
      <c r="E218" s="12">
        <v>2</v>
      </c>
      <c r="F218" s="24">
        <f>B218-E218</f>
        <v>2</v>
      </c>
    </row>
    <row r="219" spans="1:6" x14ac:dyDescent="0.35">
      <c r="A219" s="9" t="s">
        <v>140</v>
      </c>
      <c r="B219" s="9">
        <v>1</v>
      </c>
      <c r="C219" s="10"/>
      <c r="D219" s="11">
        <v>890000</v>
      </c>
      <c r="E219" s="12"/>
      <c r="F219" s="24">
        <f>B219-E219</f>
        <v>1</v>
      </c>
    </row>
    <row r="220" spans="1:6" x14ac:dyDescent="0.35">
      <c r="A220" s="9" t="s">
        <v>140</v>
      </c>
      <c r="B220" s="9">
        <v>1</v>
      </c>
      <c r="C220" s="10"/>
      <c r="D220" s="11">
        <v>857000</v>
      </c>
      <c r="E220" s="12">
        <v>1</v>
      </c>
      <c r="F220" s="24">
        <f>B220-E220</f>
        <v>0</v>
      </c>
    </row>
    <row r="221" spans="1:6" x14ac:dyDescent="0.35">
      <c r="A221" s="9" t="s">
        <v>141</v>
      </c>
      <c r="B221" s="9">
        <v>2</v>
      </c>
      <c r="C221" s="10"/>
      <c r="D221" s="11">
        <v>950000</v>
      </c>
      <c r="E221" s="12">
        <v>1</v>
      </c>
      <c r="F221" s="24">
        <f>B221-E221</f>
        <v>1</v>
      </c>
    </row>
    <row r="222" spans="1:6" x14ac:dyDescent="0.35">
      <c r="A222" s="9" t="s">
        <v>818</v>
      </c>
      <c r="B222" s="27">
        <v>3</v>
      </c>
      <c r="C222" s="27"/>
      <c r="D222" s="11">
        <v>380000</v>
      </c>
      <c r="E222" s="12">
        <v>3</v>
      </c>
      <c r="F222" s="24">
        <f>B222-E222</f>
        <v>0</v>
      </c>
    </row>
    <row r="223" spans="1:6" ht="29" x14ac:dyDescent="0.35">
      <c r="A223" s="9" t="s">
        <v>142</v>
      </c>
      <c r="B223" s="9">
        <v>1</v>
      </c>
      <c r="C223" s="10" t="s">
        <v>143</v>
      </c>
      <c r="D223" s="11">
        <v>0</v>
      </c>
      <c r="E223" s="12"/>
      <c r="F223" s="24">
        <f>B223-E223</f>
        <v>1</v>
      </c>
    </row>
    <row r="224" spans="1:6" x14ac:dyDescent="0.35">
      <c r="A224" s="9" t="s">
        <v>144</v>
      </c>
      <c r="B224" s="9">
        <v>1</v>
      </c>
      <c r="C224" s="10"/>
      <c r="D224" s="11">
        <v>4400000</v>
      </c>
      <c r="E224" s="12"/>
      <c r="F224" s="24">
        <f>B224-E224</f>
        <v>1</v>
      </c>
    </row>
    <row r="225" spans="1:6" x14ac:dyDescent="0.35">
      <c r="A225" s="9" t="s">
        <v>145</v>
      </c>
      <c r="B225" s="9">
        <v>6</v>
      </c>
      <c r="C225" s="10"/>
      <c r="D225" s="11">
        <v>1090000</v>
      </c>
      <c r="E225" s="12">
        <v>3</v>
      </c>
      <c r="F225" s="24">
        <f>B225-E225</f>
        <v>3</v>
      </c>
    </row>
    <row r="226" spans="1:6" x14ac:dyDescent="0.35">
      <c r="A226" s="9" t="s">
        <v>145</v>
      </c>
      <c r="B226" s="9">
        <v>3</v>
      </c>
      <c r="C226" s="9"/>
      <c r="D226" s="20">
        <v>1090000</v>
      </c>
      <c r="E226" s="12">
        <v>3</v>
      </c>
      <c r="F226" s="24">
        <f>B226-E226</f>
        <v>0</v>
      </c>
    </row>
    <row r="227" spans="1:6" x14ac:dyDescent="0.35">
      <c r="A227" s="9" t="s">
        <v>145</v>
      </c>
      <c r="B227" s="9">
        <v>1</v>
      </c>
      <c r="C227" s="10"/>
      <c r="D227" s="11">
        <v>1113000</v>
      </c>
      <c r="E227" s="12">
        <v>1</v>
      </c>
      <c r="F227" s="24">
        <f>B227-E227</f>
        <v>0</v>
      </c>
    </row>
    <row r="228" spans="1:6" x14ac:dyDescent="0.35">
      <c r="A228" s="9" t="s">
        <v>146</v>
      </c>
      <c r="B228" s="9">
        <v>2</v>
      </c>
      <c r="C228" s="10"/>
      <c r="D228" s="11">
        <v>2220000</v>
      </c>
      <c r="E228" s="12">
        <v>1</v>
      </c>
      <c r="F228" s="24">
        <f>B228-E228</f>
        <v>1</v>
      </c>
    </row>
    <row r="229" spans="1:6" x14ac:dyDescent="0.35">
      <c r="A229" s="9" t="s">
        <v>147</v>
      </c>
      <c r="B229" s="9">
        <v>1</v>
      </c>
      <c r="C229" s="10" t="s">
        <v>127</v>
      </c>
      <c r="D229" s="11">
        <v>2250000</v>
      </c>
      <c r="E229" s="12">
        <v>1</v>
      </c>
      <c r="F229" s="24">
        <f>B229-E229</f>
        <v>0</v>
      </c>
    </row>
    <row r="230" spans="1:6" x14ac:dyDescent="0.35">
      <c r="A230" s="9" t="s">
        <v>819</v>
      </c>
      <c r="B230" s="9">
        <v>3</v>
      </c>
      <c r="C230" s="10"/>
      <c r="D230" s="11">
        <v>30000</v>
      </c>
      <c r="E230" s="12"/>
      <c r="F230" s="24">
        <f>B230-E230</f>
        <v>3</v>
      </c>
    </row>
    <row r="231" spans="1:6" x14ac:dyDescent="0.35">
      <c r="A231" s="9" t="s">
        <v>820</v>
      </c>
      <c r="B231" s="9">
        <v>28</v>
      </c>
      <c r="C231" s="10"/>
      <c r="D231" s="11">
        <v>20000</v>
      </c>
      <c r="E231" s="12"/>
      <c r="F231" s="24">
        <f>B231-E231</f>
        <v>28</v>
      </c>
    </row>
    <row r="232" spans="1:6" x14ac:dyDescent="0.35">
      <c r="A232" s="9" t="s">
        <v>821</v>
      </c>
      <c r="B232" s="9">
        <v>15</v>
      </c>
      <c r="C232" s="10"/>
      <c r="D232" s="11">
        <v>18000</v>
      </c>
      <c r="E232" s="12"/>
      <c r="F232" s="24">
        <f>B232-E232</f>
        <v>15</v>
      </c>
    </row>
    <row r="233" spans="1:6" x14ac:dyDescent="0.35">
      <c r="A233" s="21" t="s">
        <v>822</v>
      </c>
      <c r="B233" s="9">
        <v>3</v>
      </c>
      <c r="C233" s="10"/>
      <c r="D233" s="11">
        <v>24000</v>
      </c>
      <c r="E233" s="12"/>
      <c r="F233" s="24">
        <f>B233-E233</f>
        <v>3</v>
      </c>
    </row>
    <row r="234" spans="1:6" x14ac:dyDescent="0.35">
      <c r="A234" s="9" t="s">
        <v>148</v>
      </c>
      <c r="B234" s="9">
        <v>1</v>
      </c>
      <c r="C234" s="10"/>
      <c r="D234" s="11">
        <v>730000</v>
      </c>
      <c r="E234" s="12"/>
      <c r="F234" s="24">
        <f>B234-E234</f>
        <v>1</v>
      </c>
    </row>
    <row r="235" spans="1:6" x14ac:dyDescent="0.35">
      <c r="A235" s="9" t="s">
        <v>149</v>
      </c>
      <c r="B235" s="21">
        <v>1</v>
      </c>
      <c r="C235" s="9"/>
      <c r="D235" s="20">
        <v>480000</v>
      </c>
      <c r="E235" s="12"/>
      <c r="F235" s="24">
        <f>B235-E235</f>
        <v>1</v>
      </c>
    </row>
    <row r="236" spans="1:6" x14ac:dyDescent="0.35">
      <c r="A236" s="9" t="s">
        <v>149</v>
      </c>
      <c r="B236" s="21">
        <v>1</v>
      </c>
      <c r="C236" s="9"/>
      <c r="D236" s="20">
        <v>433457.5</v>
      </c>
      <c r="E236" s="12">
        <v>1</v>
      </c>
      <c r="F236" s="24">
        <f>B236-E236</f>
        <v>0</v>
      </c>
    </row>
    <row r="237" spans="1:6" x14ac:dyDescent="0.35">
      <c r="A237" s="9" t="s">
        <v>150</v>
      </c>
      <c r="B237" s="9">
        <v>1</v>
      </c>
      <c r="C237" s="10"/>
      <c r="D237" s="11">
        <v>480000</v>
      </c>
      <c r="E237" s="12"/>
      <c r="F237" s="24">
        <f>B237-E237</f>
        <v>1</v>
      </c>
    </row>
    <row r="238" spans="1:6" x14ac:dyDescent="0.35">
      <c r="A238" s="9" t="s">
        <v>823</v>
      </c>
      <c r="B238" s="9">
        <v>1</v>
      </c>
      <c r="C238" s="10"/>
      <c r="D238" s="11">
        <v>490000</v>
      </c>
      <c r="E238" s="12"/>
      <c r="F238" s="24">
        <f>B238-E238</f>
        <v>1</v>
      </c>
    </row>
    <row r="239" spans="1:6" x14ac:dyDescent="0.35">
      <c r="A239" s="9" t="s">
        <v>151</v>
      </c>
      <c r="B239" s="9">
        <v>1</v>
      </c>
      <c r="C239" s="9"/>
      <c r="D239" s="20">
        <v>570000</v>
      </c>
      <c r="E239" s="12"/>
      <c r="F239" s="24">
        <f>B239-E239</f>
        <v>1</v>
      </c>
    </row>
    <row r="240" spans="1:6" x14ac:dyDescent="0.35">
      <c r="A240" s="19" t="s">
        <v>151</v>
      </c>
      <c r="B240" s="19">
        <v>1</v>
      </c>
      <c r="C240" s="19"/>
      <c r="D240" s="52">
        <v>481950</v>
      </c>
      <c r="E240" s="31">
        <v>1</v>
      </c>
      <c r="F240" s="24">
        <f>B240-E240</f>
        <v>0</v>
      </c>
    </row>
    <row r="241" spans="1:6" x14ac:dyDescent="0.35">
      <c r="A241" s="32" t="s">
        <v>152</v>
      </c>
      <c r="B241" s="53">
        <v>1</v>
      </c>
      <c r="C241" s="32" t="s">
        <v>153</v>
      </c>
      <c r="D241" s="54">
        <v>950000</v>
      </c>
      <c r="E241" s="23">
        <v>1</v>
      </c>
      <c r="F241" s="24">
        <f>B241-E241</f>
        <v>0</v>
      </c>
    </row>
    <row r="242" spans="1:6" x14ac:dyDescent="0.35">
      <c r="A242" s="32" t="s">
        <v>824</v>
      </c>
      <c r="B242" s="32">
        <v>1</v>
      </c>
      <c r="C242" s="33"/>
      <c r="D242" s="34">
        <v>50000</v>
      </c>
      <c r="E242" s="23"/>
      <c r="F242" s="24">
        <f>B242-E242</f>
        <v>1</v>
      </c>
    </row>
    <row r="243" spans="1:6" x14ac:dyDescent="0.35">
      <c r="A243" s="32" t="s">
        <v>154</v>
      </c>
      <c r="B243" s="32">
        <v>14</v>
      </c>
      <c r="C243" s="33"/>
      <c r="D243" s="34">
        <v>170000</v>
      </c>
      <c r="E243" s="23">
        <v>5</v>
      </c>
      <c r="F243" s="24">
        <f>B243-E243</f>
        <v>9</v>
      </c>
    </row>
    <row r="244" spans="1:6" x14ac:dyDescent="0.35">
      <c r="A244" s="32" t="s">
        <v>155</v>
      </c>
      <c r="B244" s="55">
        <v>4</v>
      </c>
      <c r="C244" s="56"/>
      <c r="D244" s="34">
        <v>170000</v>
      </c>
      <c r="E244" s="23">
        <v>3</v>
      </c>
      <c r="F244" s="24">
        <f>B244-E244</f>
        <v>1</v>
      </c>
    </row>
    <row r="245" spans="1:6" x14ac:dyDescent="0.35">
      <c r="A245" s="18" t="s">
        <v>156</v>
      </c>
      <c r="B245" s="32">
        <v>1</v>
      </c>
      <c r="C245" s="33"/>
      <c r="D245" s="34">
        <v>250000</v>
      </c>
      <c r="E245" s="23">
        <v>1</v>
      </c>
      <c r="F245" s="24">
        <f>B245-E245</f>
        <v>0</v>
      </c>
    </row>
    <row r="246" spans="1:6" x14ac:dyDescent="0.35">
      <c r="A246" s="18" t="s">
        <v>157</v>
      </c>
      <c r="B246" s="55">
        <v>2</v>
      </c>
      <c r="C246" s="56"/>
      <c r="D246" s="34">
        <v>210000</v>
      </c>
      <c r="E246" s="23">
        <v>2</v>
      </c>
      <c r="F246" s="24">
        <f>B246-E246</f>
        <v>0</v>
      </c>
    </row>
    <row r="247" spans="1:6" x14ac:dyDescent="0.35">
      <c r="A247" s="10" t="s">
        <v>158</v>
      </c>
      <c r="B247" s="32">
        <v>1</v>
      </c>
      <c r="C247" s="33"/>
      <c r="D247" s="34">
        <v>230000</v>
      </c>
      <c r="E247" s="23">
        <v>1</v>
      </c>
      <c r="F247" s="24">
        <f>B247-E247</f>
        <v>0</v>
      </c>
    </row>
    <row r="248" spans="1:6" x14ac:dyDescent="0.35">
      <c r="A248" s="5" t="s">
        <v>159</v>
      </c>
      <c r="B248" s="4">
        <v>1</v>
      </c>
      <c r="C248" s="5"/>
      <c r="D248" s="6">
        <v>250000</v>
      </c>
      <c r="E248" s="7">
        <v>1</v>
      </c>
      <c r="F248" s="24">
        <f>B248-E248</f>
        <v>0</v>
      </c>
    </row>
    <row r="249" spans="1:6" x14ac:dyDescent="0.35">
      <c r="A249" s="4" t="s">
        <v>160</v>
      </c>
      <c r="B249" s="4">
        <v>2</v>
      </c>
      <c r="C249" s="5"/>
      <c r="D249" s="6">
        <v>260000</v>
      </c>
      <c r="E249" s="7">
        <v>1</v>
      </c>
      <c r="F249" s="24">
        <f>B249-E249</f>
        <v>1</v>
      </c>
    </row>
    <row r="250" spans="1:6" x14ac:dyDescent="0.35">
      <c r="A250" s="4" t="s">
        <v>190</v>
      </c>
      <c r="B250" s="4">
        <v>2</v>
      </c>
      <c r="C250" s="5"/>
      <c r="D250" s="6">
        <v>250000</v>
      </c>
      <c r="E250" s="7">
        <v>2</v>
      </c>
      <c r="F250" s="24">
        <f>B250-E250</f>
        <v>0</v>
      </c>
    </row>
    <row r="251" spans="1:6" x14ac:dyDescent="0.35">
      <c r="A251" s="5" t="s">
        <v>161</v>
      </c>
      <c r="B251" s="4">
        <v>1</v>
      </c>
      <c r="C251" s="5"/>
      <c r="D251" s="6">
        <v>250000</v>
      </c>
      <c r="E251" s="7">
        <v>1</v>
      </c>
      <c r="F251" s="24">
        <f>B251-E251</f>
        <v>0</v>
      </c>
    </row>
    <row r="252" spans="1:6" x14ac:dyDescent="0.35">
      <c r="A252" s="4" t="s">
        <v>162</v>
      </c>
      <c r="B252" s="57">
        <v>1</v>
      </c>
      <c r="C252" s="4" t="s">
        <v>163</v>
      </c>
      <c r="D252" s="58">
        <v>223125</v>
      </c>
      <c r="E252" s="7">
        <v>1</v>
      </c>
      <c r="F252" s="24">
        <f>B252-E252</f>
        <v>0</v>
      </c>
    </row>
    <row r="253" spans="1:6" x14ac:dyDescent="0.35">
      <c r="A253" s="4" t="s">
        <v>162</v>
      </c>
      <c r="B253" s="57">
        <v>3</v>
      </c>
      <c r="C253" s="4" t="s">
        <v>163</v>
      </c>
      <c r="D253" s="58">
        <v>260000</v>
      </c>
      <c r="E253" s="7"/>
      <c r="F253" s="24">
        <f>B253-E253</f>
        <v>3</v>
      </c>
    </row>
    <row r="254" spans="1:6" x14ac:dyDescent="0.35">
      <c r="A254" s="4" t="s">
        <v>162</v>
      </c>
      <c r="B254" s="57">
        <v>3</v>
      </c>
      <c r="C254" s="4" t="s">
        <v>163</v>
      </c>
      <c r="D254" s="58">
        <v>260000</v>
      </c>
      <c r="E254" s="7">
        <v>3</v>
      </c>
      <c r="F254" s="24">
        <f>B254-E254</f>
        <v>0</v>
      </c>
    </row>
    <row r="255" spans="1:6" x14ac:dyDescent="0.35">
      <c r="A255" s="4" t="s">
        <v>164</v>
      </c>
      <c r="B255" s="4">
        <v>1</v>
      </c>
      <c r="C255" s="4"/>
      <c r="D255" s="6">
        <v>182600</v>
      </c>
      <c r="E255" s="7">
        <v>1</v>
      </c>
      <c r="F255" s="24">
        <f>B255-E255</f>
        <v>0</v>
      </c>
    </row>
    <row r="256" spans="1:6" x14ac:dyDescent="0.35">
      <c r="A256" s="4" t="s">
        <v>164</v>
      </c>
      <c r="B256" s="4">
        <v>1</v>
      </c>
      <c r="C256" s="5"/>
      <c r="D256" s="6">
        <v>210000</v>
      </c>
      <c r="E256" s="7"/>
      <c r="F256" s="24">
        <f>B256-E256</f>
        <v>1</v>
      </c>
    </row>
    <row r="257" spans="1:6" x14ac:dyDescent="0.35">
      <c r="A257" s="4" t="s">
        <v>165</v>
      </c>
      <c r="B257" s="4">
        <v>1</v>
      </c>
      <c r="C257" s="4"/>
      <c r="D257" s="6">
        <v>200000</v>
      </c>
      <c r="E257" s="7">
        <v>1</v>
      </c>
      <c r="F257" s="24">
        <f>B257-E257</f>
        <v>0</v>
      </c>
    </row>
    <row r="258" spans="1:6" x14ac:dyDescent="0.35">
      <c r="A258" s="4" t="s">
        <v>166</v>
      </c>
      <c r="B258" s="4">
        <v>2</v>
      </c>
      <c r="C258" s="5"/>
      <c r="D258" s="6">
        <v>250000</v>
      </c>
      <c r="E258" s="7">
        <v>2</v>
      </c>
      <c r="F258" s="24">
        <f>B258-E258</f>
        <v>0</v>
      </c>
    </row>
    <row r="259" spans="1:6" x14ac:dyDescent="0.35">
      <c r="A259" s="4" t="s">
        <v>187</v>
      </c>
      <c r="B259" s="4">
        <v>1</v>
      </c>
      <c r="C259" s="5"/>
      <c r="D259" s="6">
        <v>420000</v>
      </c>
      <c r="E259" s="7"/>
      <c r="F259" s="24">
        <f>B259-E259</f>
        <v>1</v>
      </c>
    </row>
    <row r="260" spans="1:6" x14ac:dyDescent="0.35">
      <c r="A260" s="4" t="s">
        <v>825</v>
      </c>
      <c r="B260" s="4">
        <v>1</v>
      </c>
      <c r="C260" s="5"/>
      <c r="D260" s="6">
        <v>240000</v>
      </c>
      <c r="E260" s="7"/>
      <c r="F260" s="24">
        <f>B260-E260</f>
        <v>1</v>
      </c>
    </row>
    <row r="261" spans="1:6" x14ac:dyDescent="0.35">
      <c r="A261" s="4" t="s">
        <v>826</v>
      </c>
      <c r="B261" s="4">
        <v>1</v>
      </c>
      <c r="C261" s="5"/>
      <c r="D261" s="6">
        <v>230000</v>
      </c>
      <c r="E261" s="7"/>
      <c r="F261" s="24">
        <f>B261-E261</f>
        <v>1</v>
      </c>
    </row>
    <row r="262" spans="1:6" x14ac:dyDescent="0.35">
      <c r="A262" s="4" t="s">
        <v>827</v>
      </c>
      <c r="B262" s="4">
        <v>1</v>
      </c>
      <c r="C262" s="5"/>
      <c r="D262" s="6">
        <v>230000</v>
      </c>
      <c r="E262" s="7"/>
      <c r="F262" s="24">
        <f>B262-E262</f>
        <v>1</v>
      </c>
    </row>
    <row r="263" spans="1:6" x14ac:dyDescent="0.35">
      <c r="A263" s="4" t="s">
        <v>828</v>
      </c>
      <c r="B263" s="4">
        <v>3</v>
      </c>
      <c r="C263" s="5"/>
      <c r="D263" s="6">
        <v>350000</v>
      </c>
      <c r="E263" s="7">
        <v>1</v>
      </c>
      <c r="F263" s="24">
        <f>B263-E263</f>
        <v>2</v>
      </c>
    </row>
    <row r="264" spans="1:6" x14ac:dyDescent="0.35">
      <c r="A264" s="9" t="s">
        <v>829</v>
      </c>
      <c r="B264" s="4">
        <v>1</v>
      </c>
      <c r="C264" s="5"/>
      <c r="D264" s="6">
        <v>360000</v>
      </c>
      <c r="E264" s="7">
        <v>1</v>
      </c>
      <c r="F264" s="24">
        <f>B264-E264</f>
        <v>0</v>
      </c>
    </row>
    <row r="265" spans="1:6" x14ac:dyDescent="0.35">
      <c r="A265" s="9" t="s">
        <v>830</v>
      </c>
      <c r="B265" s="4">
        <v>1</v>
      </c>
      <c r="C265" s="5"/>
      <c r="D265" s="6">
        <v>230000</v>
      </c>
      <c r="E265" s="7"/>
      <c r="F265" s="24">
        <f>B265-E265</f>
        <v>1</v>
      </c>
    </row>
    <row r="266" spans="1:6" x14ac:dyDescent="0.35">
      <c r="A266" s="9" t="s">
        <v>831</v>
      </c>
      <c r="B266" s="4">
        <v>1</v>
      </c>
      <c r="C266" s="5"/>
      <c r="D266" s="34">
        <v>230000</v>
      </c>
      <c r="E266" s="7"/>
      <c r="F266" s="24">
        <f>B266-E266</f>
        <v>1</v>
      </c>
    </row>
    <row r="267" spans="1:6" x14ac:dyDescent="0.35">
      <c r="A267" s="9" t="s">
        <v>832</v>
      </c>
      <c r="B267" s="9">
        <v>1</v>
      </c>
      <c r="C267" s="10"/>
      <c r="D267" s="34">
        <v>230000</v>
      </c>
      <c r="E267" s="12"/>
      <c r="F267" s="24">
        <f>B267-E267</f>
        <v>1</v>
      </c>
    </row>
    <row r="268" spans="1:6" x14ac:dyDescent="0.35">
      <c r="A268" s="9" t="s">
        <v>833</v>
      </c>
      <c r="B268" s="18">
        <v>1</v>
      </c>
      <c r="C268" s="50"/>
      <c r="D268" s="45">
        <v>170000</v>
      </c>
      <c r="E268" s="59"/>
      <c r="F268" s="24">
        <f>B268-E268</f>
        <v>1</v>
      </c>
    </row>
    <row r="269" spans="1:6" x14ac:dyDescent="0.35">
      <c r="A269" s="9" t="s">
        <v>834</v>
      </c>
      <c r="B269" s="18">
        <v>1</v>
      </c>
      <c r="C269" s="50"/>
      <c r="D269" s="45">
        <v>170000</v>
      </c>
      <c r="E269" s="59"/>
      <c r="F269" s="24">
        <f>B269-E269</f>
        <v>1</v>
      </c>
    </row>
    <row r="270" spans="1:6" x14ac:dyDescent="0.35">
      <c r="A270" s="9" t="s">
        <v>835</v>
      </c>
      <c r="B270" s="18">
        <v>1</v>
      </c>
      <c r="C270" s="50"/>
      <c r="D270" s="45">
        <v>170000</v>
      </c>
      <c r="E270" s="59"/>
      <c r="F270" s="24">
        <f>B270-E270</f>
        <v>1</v>
      </c>
    </row>
    <row r="271" spans="1:6" x14ac:dyDescent="0.35">
      <c r="A271" s="9" t="s">
        <v>836</v>
      </c>
      <c r="B271" s="18">
        <v>1</v>
      </c>
      <c r="C271" s="50"/>
      <c r="D271" s="45">
        <v>170000</v>
      </c>
      <c r="E271" s="59"/>
      <c r="F271" s="24">
        <f>B271-E271</f>
        <v>1</v>
      </c>
    </row>
    <row r="272" spans="1:6" x14ac:dyDescent="0.35">
      <c r="A272" s="9" t="s">
        <v>837</v>
      </c>
      <c r="B272" s="18">
        <v>1</v>
      </c>
      <c r="C272" s="50"/>
      <c r="D272" s="45">
        <v>210000</v>
      </c>
      <c r="E272" s="59"/>
      <c r="F272" s="24">
        <f>B272-E272</f>
        <v>1</v>
      </c>
    </row>
    <row r="273" spans="1:6" x14ac:dyDescent="0.35">
      <c r="A273" s="9" t="s">
        <v>167</v>
      </c>
      <c r="B273" s="60">
        <v>1</v>
      </c>
      <c r="C273" s="28"/>
      <c r="D273" s="45">
        <v>210000</v>
      </c>
      <c r="E273" s="18">
        <v>1</v>
      </c>
      <c r="F273" s="24">
        <f>B273-E273</f>
        <v>0</v>
      </c>
    </row>
    <row r="274" spans="1:6" x14ac:dyDescent="0.35">
      <c r="A274" s="9" t="s">
        <v>838</v>
      </c>
      <c r="B274" s="18">
        <v>1</v>
      </c>
      <c r="C274" s="50"/>
      <c r="D274" s="45">
        <v>230000</v>
      </c>
      <c r="E274" s="59"/>
      <c r="F274" s="24">
        <f>B274-E274</f>
        <v>1</v>
      </c>
    </row>
    <row r="275" spans="1:6" x14ac:dyDescent="0.35">
      <c r="A275" s="9" t="s">
        <v>188</v>
      </c>
      <c r="B275" s="18">
        <v>2</v>
      </c>
      <c r="C275" s="50"/>
      <c r="D275" s="45">
        <v>210000</v>
      </c>
      <c r="E275" s="59"/>
      <c r="F275" s="24">
        <f>B275-E275</f>
        <v>2</v>
      </c>
    </row>
    <row r="276" spans="1:6" x14ac:dyDescent="0.35">
      <c r="A276" s="9" t="s">
        <v>168</v>
      </c>
      <c r="B276" s="61">
        <v>1</v>
      </c>
      <c r="C276" s="18" t="s">
        <v>163</v>
      </c>
      <c r="D276" s="62">
        <v>214200</v>
      </c>
      <c r="E276" s="59">
        <v>1</v>
      </c>
      <c r="F276" s="24">
        <f>B276-E276</f>
        <v>0</v>
      </c>
    </row>
    <row r="277" spans="1:6" x14ac:dyDescent="0.35">
      <c r="A277" s="9" t="s">
        <v>168</v>
      </c>
      <c r="B277" s="18">
        <v>2</v>
      </c>
      <c r="C277" s="18" t="s">
        <v>163</v>
      </c>
      <c r="D277" s="62">
        <v>225000</v>
      </c>
      <c r="E277" s="59">
        <v>2</v>
      </c>
      <c r="F277" s="24">
        <f>B277-E277</f>
        <v>0</v>
      </c>
    </row>
    <row r="278" spans="1:6" x14ac:dyDescent="0.35">
      <c r="A278" s="9" t="s">
        <v>169</v>
      </c>
      <c r="B278" s="63">
        <v>1</v>
      </c>
      <c r="C278" s="18" t="s">
        <v>163</v>
      </c>
      <c r="D278" s="62">
        <v>232050</v>
      </c>
      <c r="E278" s="59">
        <v>1</v>
      </c>
      <c r="F278" s="24">
        <f>B278-E278</f>
        <v>0</v>
      </c>
    </row>
    <row r="279" spans="1:6" x14ac:dyDescent="0.35">
      <c r="A279" s="9" t="s">
        <v>839</v>
      </c>
      <c r="B279" s="63">
        <v>1</v>
      </c>
      <c r="C279" s="18" t="s">
        <v>163</v>
      </c>
      <c r="D279" s="62">
        <v>266600</v>
      </c>
      <c r="E279" s="59"/>
      <c r="F279" s="24">
        <f>B279-E279</f>
        <v>1</v>
      </c>
    </row>
    <row r="280" spans="1:6" x14ac:dyDescent="0.35">
      <c r="A280" s="9" t="s">
        <v>170</v>
      </c>
      <c r="B280" s="61">
        <v>2</v>
      </c>
      <c r="C280" s="18" t="s">
        <v>163</v>
      </c>
      <c r="D280" s="62">
        <v>245000</v>
      </c>
      <c r="E280" s="59">
        <v>2</v>
      </c>
      <c r="F280" s="24">
        <f>B280-E280</f>
        <v>0</v>
      </c>
    </row>
    <row r="281" spans="1:6" x14ac:dyDescent="0.35">
      <c r="A281" s="33" t="s">
        <v>171</v>
      </c>
      <c r="B281" s="18">
        <v>1</v>
      </c>
      <c r="C281" s="50"/>
      <c r="D281" s="45">
        <v>350000</v>
      </c>
      <c r="E281" s="59">
        <v>1</v>
      </c>
      <c r="F281" s="24">
        <f>B281-E281</f>
        <v>0</v>
      </c>
    </row>
    <row r="282" spans="1:6" x14ac:dyDescent="0.35">
      <c r="A282" s="9" t="s">
        <v>840</v>
      </c>
      <c r="B282" s="18">
        <v>1</v>
      </c>
      <c r="C282" s="50"/>
      <c r="D282" s="45">
        <v>290000</v>
      </c>
      <c r="E282" s="59"/>
      <c r="F282" s="24">
        <f>B282-E282</f>
        <v>1</v>
      </c>
    </row>
    <row r="283" spans="1:6" x14ac:dyDescent="0.35">
      <c r="A283" s="9" t="s">
        <v>841</v>
      </c>
      <c r="B283" s="18">
        <v>1</v>
      </c>
      <c r="C283" s="50"/>
      <c r="D283" s="45">
        <v>290000</v>
      </c>
      <c r="E283" s="59"/>
      <c r="F283" s="24">
        <f>B283-E283</f>
        <v>1</v>
      </c>
    </row>
    <row r="284" spans="1:6" ht="58" x14ac:dyDescent="0.35">
      <c r="A284" s="9" t="s">
        <v>841</v>
      </c>
      <c r="B284" s="18">
        <v>1</v>
      </c>
      <c r="C284" s="50" t="s">
        <v>173</v>
      </c>
      <c r="D284" s="45">
        <v>300000</v>
      </c>
      <c r="E284" s="59">
        <v>1</v>
      </c>
      <c r="F284" s="24">
        <f>B284-E284</f>
        <v>0</v>
      </c>
    </row>
    <row r="285" spans="1:6" ht="58" x14ac:dyDescent="0.35">
      <c r="A285" s="32" t="s">
        <v>172</v>
      </c>
      <c r="B285" s="18">
        <v>7</v>
      </c>
      <c r="C285" s="50" t="s">
        <v>173</v>
      </c>
      <c r="D285" s="45">
        <v>310000</v>
      </c>
      <c r="E285" s="59">
        <v>3</v>
      </c>
      <c r="F285" s="24">
        <f>B285-E285</f>
        <v>4</v>
      </c>
    </row>
    <row r="286" spans="1:6" ht="58" x14ac:dyDescent="0.35">
      <c r="A286" s="18" t="s">
        <v>842</v>
      </c>
      <c r="B286" s="18">
        <v>1</v>
      </c>
      <c r="C286" s="50" t="s">
        <v>173</v>
      </c>
      <c r="D286" s="45">
        <v>300000</v>
      </c>
      <c r="E286" s="59">
        <v>1</v>
      </c>
      <c r="F286" s="24">
        <f>B286-E286</f>
        <v>0</v>
      </c>
    </row>
    <row r="287" spans="1:6" ht="58" x14ac:dyDescent="0.35">
      <c r="A287" s="18" t="s">
        <v>174</v>
      </c>
      <c r="B287" s="18">
        <v>1</v>
      </c>
      <c r="C287" s="50" t="s">
        <v>173</v>
      </c>
      <c r="D287" s="45">
        <v>300000</v>
      </c>
      <c r="E287" s="59">
        <v>1</v>
      </c>
      <c r="F287" s="24">
        <f>B287-E287</f>
        <v>0</v>
      </c>
    </row>
    <row r="288" spans="1:6" ht="58" x14ac:dyDescent="0.35">
      <c r="A288" s="18" t="s">
        <v>174</v>
      </c>
      <c r="B288" s="18">
        <v>5</v>
      </c>
      <c r="C288" s="50" t="s">
        <v>173</v>
      </c>
      <c r="D288" s="45">
        <v>300000</v>
      </c>
      <c r="E288" s="59">
        <v>5</v>
      </c>
      <c r="F288" s="24">
        <f>B288-E288</f>
        <v>0</v>
      </c>
    </row>
    <row r="289" spans="1:6" ht="58" x14ac:dyDescent="0.35">
      <c r="A289" s="18" t="s">
        <v>174</v>
      </c>
      <c r="B289" s="18">
        <v>4</v>
      </c>
      <c r="C289" s="50" t="s">
        <v>173</v>
      </c>
      <c r="D289" s="45">
        <v>330000</v>
      </c>
      <c r="E289" s="59"/>
      <c r="F289" s="24">
        <f>B289-E289</f>
        <v>4</v>
      </c>
    </row>
    <row r="290" spans="1:6" ht="58" x14ac:dyDescent="0.35">
      <c r="A290" s="18" t="s">
        <v>174</v>
      </c>
      <c r="B290" s="18">
        <v>4</v>
      </c>
      <c r="C290" s="50" t="s">
        <v>173</v>
      </c>
      <c r="D290" s="45">
        <v>330000</v>
      </c>
      <c r="E290" s="59">
        <v>3</v>
      </c>
      <c r="F290" s="24">
        <f>B290-E290</f>
        <v>1</v>
      </c>
    </row>
    <row r="291" spans="1:6" x14ac:dyDescent="0.35">
      <c r="A291" s="18" t="s">
        <v>175</v>
      </c>
      <c r="B291" s="18">
        <v>4</v>
      </c>
      <c r="C291" s="50"/>
      <c r="D291" s="45">
        <v>300000</v>
      </c>
      <c r="E291" s="59">
        <v>2</v>
      </c>
      <c r="F291" s="24">
        <f>B291-E291</f>
        <v>2</v>
      </c>
    </row>
    <row r="292" spans="1:6" x14ac:dyDescent="0.35">
      <c r="A292" s="18" t="s">
        <v>176</v>
      </c>
      <c r="B292" s="18">
        <v>1</v>
      </c>
      <c r="C292" s="50"/>
      <c r="D292" s="45">
        <v>310000</v>
      </c>
      <c r="E292" s="59"/>
      <c r="F292" s="24">
        <f>B292-E292</f>
        <v>1</v>
      </c>
    </row>
    <row r="293" spans="1:6" x14ac:dyDescent="0.35">
      <c r="A293" s="18" t="s">
        <v>177</v>
      </c>
      <c r="B293" s="18">
        <v>1</v>
      </c>
      <c r="C293" s="50"/>
      <c r="D293" s="45">
        <v>315000</v>
      </c>
      <c r="E293" s="59">
        <v>1</v>
      </c>
      <c r="F293" s="24">
        <f>B293-E293</f>
        <v>0</v>
      </c>
    </row>
    <row r="294" spans="1:6" ht="58" x14ac:dyDescent="0.35">
      <c r="A294" s="18" t="s">
        <v>178</v>
      </c>
      <c r="B294" s="18">
        <v>1</v>
      </c>
      <c r="C294" s="50" t="s">
        <v>173</v>
      </c>
      <c r="D294" s="45">
        <v>230000</v>
      </c>
      <c r="E294" s="59">
        <v>1</v>
      </c>
      <c r="F294" s="24">
        <f>B294-E294</f>
        <v>0</v>
      </c>
    </row>
    <row r="295" spans="1:6" x14ac:dyDescent="0.35">
      <c r="A295" s="18" t="s">
        <v>178</v>
      </c>
      <c r="B295" s="18">
        <v>3</v>
      </c>
      <c r="C295" s="50"/>
      <c r="D295" s="45">
        <v>320000</v>
      </c>
      <c r="E295" s="59">
        <v>1</v>
      </c>
      <c r="F295" s="24">
        <f>B295-E295</f>
        <v>2</v>
      </c>
    </row>
    <row r="296" spans="1:6" ht="58" x14ac:dyDescent="0.35">
      <c r="A296" s="18" t="s">
        <v>179</v>
      </c>
      <c r="B296" s="18">
        <v>1</v>
      </c>
      <c r="C296" s="50" t="s">
        <v>173</v>
      </c>
      <c r="D296" s="45">
        <v>230000</v>
      </c>
      <c r="E296" s="59">
        <v>1</v>
      </c>
      <c r="F296" s="24">
        <f>B296-E296</f>
        <v>0</v>
      </c>
    </row>
    <row r="297" spans="1:6" ht="58" x14ac:dyDescent="0.35">
      <c r="A297" s="18" t="s">
        <v>179</v>
      </c>
      <c r="B297" s="18">
        <v>2</v>
      </c>
      <c r="C297" s="50" t="s">
        <v>173</v>
      </c>
      <c r="D297" s="45">
        <v>290000</v>
      </c>
      <c r="E297" s="59">
        <v>2</v>
      </c>
      <c r="F297" s="24">
        <f>B297-E297</f>
        <v>0</v>
      </c>
    </row>
    <row r="298" spans="1:6" x14ac:dyDescent="0.35">
      <c r="A298" s="18" t="s">
        <v>179</v>
      </c>
      <c r="B298" s="18">
        <v>2</v>
      </c>
      <c r="C298" s="50"/>
      <c r="D298" s="45">
        <v>325000</v>
      </c>
      <c r="E298" s="59">
        <v>2</v>
      </c>
      <c r="F298" s="24">
        <f>B298-E298</f>
        <v>0</v>
      </c>
    </row>
    <row r="299" spans="1:6" x14ac:dyDescent="0.35">
      <c r="A299" s="18" t="s">
        <v>180</v>
      </c>
      <c r="B299" s="48">
        <v>2</v>
      </c>
      <c r="C299" s="50"/>
      <c r="D299" s="45">
        <v>75000</v>
      </c>
      <c r="E299" s="59">
        <v>2</v>
      </c>
      <c r="F299" s="24">
        <f>B299-E299</f>
        <v>0</v>
      </c>
    </row>
    <row r="300" spans="1:6" x14ac:dyDescent="0.35">
      <c r="A300" s="18" t="s">
        <v>181</v>
      </c>
      <c r="B300" s="18">
        <v>10</v>
      </c>
      <c r="C300" s="50"/>
      <c r="D300" s="45">
        <v>68000</v>
      </c>
      <c r="E300" s="59">
        <v>10</v>
      </c>
      <c r="F300" s="24">
        <f>B300-E300</f>
        <v>0</v>
      </c>
    </row>
    <row r="301" spans="1:6" x14ac:dyDescent="0.35">
      <c r="A301" s="18" t="s">
        <v>193</v>
      </c>
      <c r="B301" s="18">
        <v>1</v>
      </c>
      <c r="C301" s="50"/>
      <c r="D301" s="45">
        <v>95000</v>
      </c>
      <c r="E301" s="59">
        <v>1</v>
      </c>
      <c r="F301" s="24">
        <f>B301-E301</f>
        <v>0</v>
      </c>
    </row>
    <row r="302" spans="1:6" x14ac:dyDescent="0.35">
      <c r="D302" s="35">
        <f>SUM(D2:D267)</f>
        <v>119844729.45562498</v>
      </c>
    </row>
  </sheetData>
  <autoFilter ref="A1:F11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9"/>
  <sheetViews>
    <sheetView workbookViewId="0">
      <selection activeCell="I8" sqref="I8"/>
    </sheetView>
  </sheetViews>
  <sheetFormatPr baseColWidth="10" defaultRowHeight="14.5" x14ac:dyDescent="0.35"/>
  <cols>
    <col min="1" max="1" width="40.36328125" customWidth="1"/>
  </cols>
  <sheetData>
    <row r="1" spans="1:5" ht="29" x14ac:dyDescent="0.35">
      <c r="A1" s="10" t="s">
        <v>0</v>
      </c>
      <c r="B1" s="10" t="s">
        <v>1</v>
      </c>
      <c r="C1" s="36" t="s">
        <v>3</v>
      </c>
      <c r="D1" s="37" t="s">
        <v>4</v>
      </c>
      <c r="E1" s="37" t="s">
        <v>5</v>
      </c>
    </row>
    <row r="2" spans="1:5" x14ac:dyDescent="0.35">
      <c r="A2" s="10" t="s">
        <v>194</v>
      </c>
      <c r="B2" s="64">
        <v>5</v>
      </c>
      <c r="C2" s="15">
        <v>4000</v>
      </c>
      <c r="D2" s="37"/>
      <c r="E2" s="13">
        <f>B2-D2</f>
        <v>5</v>
      </c>
    </row>
    <row r="3" spans="1:5" x14ac:dyDescent="0.35">
      <c r="A3" s="10" t="s">
        <v>194</v>
      </c>
      <c r="B3" s="38">
        <v>8</v>
      </c>
      <c r="C3" s="15">
        <v>4000</v>
      </c>
      <c r="D3" s="12"/>
      <c r="E3" s="13">
        <f>B3-D3</f>
        <v>8</v>
      </c>
    </row>
    <row r="4" spans="1:5" x14ac:dyDescent="0.35">
      <c r="A4" s="10" t="s">
        <v>195</v>
      </c>
      <c r="B4" s="38">
        <v>5</v>
      </c>
      <c r="C4" s="15">
        <v>5000</v>
      </c>
      <c r="D4" s="12"/>
      <c r="E4" s="13">
        <f>B4-D4</f>
        <v>5</v>
      </c>
    </row>
    <row r="5" spans="1:5" x14ac:dyDescent="0.35">
      <c r="A5" s="10" t="s">
        <v>195</v>
      </c>
      <c r="B5" s="38">
        <v>3</v>
      </c>
      <c r="C5" s="15">
        <v>5000</v>
      </c>
      <c r="D5" s="12">
        <v>1</v>
      </c>
      <c r="E5" s="13">
        <f>B5-D5</f>
        <v>2</v>
      </c>
    </row>
    <row r="6" spans="1:5" x14ac:dyDescent="0.35">
      <c r="A6" s="10" t="s">
        <v>196</v>
      </c>
      <c r="B6" s="38">
        <v>6</v>
      </c>
      <c r="C6" s="15">
        <v>5000</v>
      </c>
      <c r="D6" s="12"/>
      <c r="E6" s="13">
        <f>B6-D6</f>
        <v>6</v>
      </c>
    </row>
    <row r="7" spans="1:5" x14ac:dyDescent="0.35">
      <c r="A7" s="10" t="s">
        <v>196</v>
      </c>
      <c r="B7" s="38">
        <v>3</v>
      </c>
      <c r="C7" s="15">
        <v>5000</v>
      </c>
      <c r="D7" s="12"/>
      <c r="E7" s="13">
        <f>B7-D7</f>
        <v>3</v>
      </c>
    </row>
    <row r="8" spans="1:5" x14ac:dyDescent="0.35">
      <c r="A8" s="10" t="s">
        <v>197</v>
      </c>
      <c r="B8" s="38">
        <v>7</v>
      </c>
      <c r="C8" s="15">
        <v>12000</v>
      </c>
      <c r="D8" s="12"/>
      <c r="E8" s="13">
        <f>B8-D8</f>
        <v>7</v>
      </c>
    </row>
    <row r="9" spans="1:5" x14ac:dyDescent="0.35">
      <c r="A9" s="10" t="s">
        <v>197</v>
      </c>
      <c r="B9" s="38">
        <v>5</v>
      </c>
      <c r="C9" s="15">
        <v>12000</v>
      </c>
      <c r="D9" s="12">
        <v>2</v>
      </c>
      <c r="E9" s="13">
        <f>B9-D9</f>
        <v>3</v>
      </c>
    </row>
    <row r="10" spans="1:5" x14ac:dyDescent="0.35">
      <c r="A10" s="10" t="s">
        <v>198</v>
      </c>
      <c r="B10" s="38">
        <v>3</v>
      </c>
      <c r="C10" s="15">
        <v>14000</v>
      </c>
      <c r="D10" s="12">
        <v>2</v>
      </c>
      <c r="E10" s="13">
        <f>B10-D10</f>
        <v>1</v>
      </c>
    </row>
    <row r="11" spans="1:5" x14ac:dyDescent="0.35">
      <c r="A11" s="10" t="s">
        <v>199</v>
      </c>
      <c r="B11" s="38">
        <v>5</v>
      </c>
      <c r="C11" s="15">
        <v>15000</v>
      </c>
      <c r="D11" s="12"/>
      <c r="E11" s="13">
        <f>B11-D11</f>
        <v>5</v>
      </c>
    </row>
    <row r="12" spans="1:5" x14ac:dyDescent="0.35">
      <c r="A12" s="10" t="s">
        <v>199</v>
      </c>
      <c r="B12" s="38">
        <v>3</v>
      </c>
      <c r="C12" s="15">
        <v>15000</v>
      </c>
      <c r="D12" s="12"/>
      <c r="E12" s="13">
        <f>B12-D12</f>
        <v>3</v>
      </c>
    </row>
    <row r="13" spans="1:5" x14ac:dyDescent="0.35">
      <c r="A13" s="10" t="s">
        <v>200</v>
      </c>
      <c r="B13" s="38">
        <v>15</v>
      </c>
      <c r="C13" s="15">
        <v>4000</v>
      </c>
      <c r="D13" s="12">
        <v>2</v>
      </c>
      <c r="E13" s="13">
        <f>B13-D13</f>
        <v>13</v>
      </c>
    </row>
    <row r="14" spans="1:5" x14ac:dyDescent="0.35">
      <c r="A14" s="10" t="s">
        <v>201</v>
      </c>
      <c r="B14" s="38">
        <v>3</v>
      </c>
      <c r="C14" s="15">
        <v>5000</v>
      </c>
      <c r="D14" s="12">
        <v>1</v>
      </c>
      <c r="E14" s="13">
        <f>B14-D14</f>
        <v>2</v>
      </c>
    </row>
    <row r="15" spans="1:5" x14ac:dyDescent="0.35">
      <c r="A15" s="10" t="s">
        <v>202</v>
      </c>
      <c r="B15" s="38">
        <v>3</v>
      </c>
      <c r="C15" s="15">
        <v>5000</v>
      </c>
      <c r="D15" s="12"/>
      <c r="E15" s="13">
        <f>B15-D15</f>
        <v>3</v>
      </c>
    </row>
    <row r="16" spans="1:5" x14ac:dyDescent="0.35">
      <c r="A16" s="10" t="s">
        <v>203</v>
      </c>
      <c r="B16" s="38">
        <v>11</v>
      </c>
      <c r="C16" s="15">
        <v>14000</v>
      </c>
      <c r="D16" s="12">
        <v>1</v>
      </c>
      <c r="E16" s="13">
        <f>B16-D16</f>
        <v>10</v>
      </c>
    </row>
    <row r="17" spans="1:5" x14ac:dyDescent="0.35">
      <c r="A17" s="10" t="s">
        <v>204</v>
      </c>
      <c r="B17" s="38">
        <v>3</v>
      </c>
      <c r="C17" s="15">
        <v>15000</v>
      </c>
      <c r="D17" s="12">
        <v>1</v>
      </c>
      <c r="E17" s="13">
        <f>B17-D17</f>
        <v>2</v>
      </c>
    </row>
    <row r="18" spans="1:5" x14ac:dyDescent="0.35">
      <c r="A18" s="10" t="s">
        <v>205</v>
      </c>
      <c r="B18" s="38">
        <v>3</v>
      </c>
      <c r="C18" s="15">
        <v>16000</v>
      </c>
      <c r="D18" s="12">
        <v>2</v>
      </c>
      <c r="E18" s="13">
        <f>B18-D18</f>
        <v>1</v>
      </c>
    </row>
    <row r="19" spans="1:5" x14ac:dyDescent="0.35">
      <c r="A19" s="9" t="s">
        <v>206</v>
      </c>
      <c r="B19" s="38">
        <v>10</v>
      </c>
      <c r="C19" s="11">
        <v>6000</v>
      </c>
      <c r="D19" s="12"/>
      <c r="E19" s="13">
        <f>B19-D19</f>
        <v>10</v>
      </c>
    </row>
    <row r="20" spans="1:5" x14ac:dyDescent="0.35">
      <c r="A20" s="10" t="s">
        <v>207</v>
      </c>
      <c r="B20" s="38">
        <v>6</v>
      </c>
      <c r="C20" s="11">
        <v>18000</v>
      </c>
      <c r="D20" s="12">
        <v>1</v>
      </c>
      <c r="E20" s="13">
        <f>B20-D20</f>
        <v>5</v>
      </c>
    </row>
    <row r="21" spans="1:5" x14ac:dyDescent="0.35">
      <c r="A21" s="9" t="s">
        <v>208</v>
      </c>
      <c r="B21" s="38">
        <v>1</v>
      </c>
      <c r="C21" s="11">
        <v>35000</v>
      </c>
      <c r="D21" s="12">
        <v>1</v>
      </c>
      <c r="E21" s="13">
        <f>B21-D21</f>
        <v>0</v>
      </c>
    </row>
    <row r="22" spans="1:5" x14ac:dyDescent="0.35">
      <c r="A22" s="9" t="s">
        <v>210</v>
      </c>
      <c r="B22" s="38">
        <v>1</v>
      </c>
      <c r="C22" s="11">
        <v>33750</v>
      </c>
      <c r="D22" s="12"/>
      <c r="E22" s="13">
        <f>B22-D22</f>
        <v>1</v>
      </c>
    </row>
    <row r="23" spans="1:5" x14ac:dyDescent="0.35">
      <c r="A23" s="10" t="s">
        <v>211</v>
      </c>
      <c r="B23" s="38">
        <v>6</v>
      </c>
      <c r="C23" s="11">
        <v>25000</v>
      </c>
      <c r="D23" s="12"/>
      <c r="E23" s="13">
        <f>B23-D23</f>
        <v>6</v>
      </c>
    </row>
    <row r="24" spans="1:5" x14ac:dyDescent="0.35">
      <c r="A24" s="9" t="s">
        <v>212</v>
      </c>
      <c r="B24" s="39">
        <v>2</v>
      </c>
      <c r="C24" s="11">
        <v>63897.759999999995</v>
      </c>
      <c r="D24" s="12">
        <v>2</v>
      </c>
      <c r="E24" s="13">
        <f>B24-D24</f>
        <v>0</v>
      </c>
    </row>
    <row r="25" spans="1:5" ht="29" x14ac:dyDescent="0.35">
      <c r="A25" s="10" t="s">
        <v>214</v>
      </c>
      <c r="B25" s="40">
        <v>6</v>
      </c>
      <c r="C25" s="11">
        <v>16000</v>
      </c>
      <c r="D25" s="12"/>
      <c r="E25" s="13">
        <f>B25-D25</f>
        <v>6</v>
      </c>
    </row>
    <row r="26" spans="1:5" x14ac:dyDescent="0.35">
      <c r="A26" s="9" t="s">
        <v>215</v>
      </c>
      <c r="B26" s="38">
        <v>4</v>
      </c>
      <c r="C26" s="11">
        <v>17000</v>
      </c>
      <c r="D26" s="12"/>
      <c r="E26" s="13">
        <f>B26-D26</f>
        <v>4</v>
      </c>
    </row>
    <row r="27" spans="1:5" x14ac:dyDescent="0.35">
      <c r="A27" s="10" t="s">
        <v>216</v>
      </c>
      <c r="B27" s="40">
        <v>3</v>
      </c>
      <c r="C27" s="11">
        <v>21000</v>
      </c>
      <c r="D27" s="12"/>
      <c r="E27" s="13">
        <f>B27-D27</f>
        <v>3</v>
      </c>
    </row>
    <row r="28" spans="1:5" x14ac:dyDescent="0.35">
      <c r="A28" s="10" t="s">
        <v>217</v>
      </c>
      <c r="B28" s="40">
        <v>6</v>
      </c>
      <c r="C28" s="11">
        <v>21000</v>
      </c>
      <c r="D28" s="12">
        <v>1</v>
      </c>
      <c r="E28" s="13">
        <f>B28-D28</f>
        <v>5</v>
      </c>
    </row>
    <row r="29" spans="1:5" x14ac:dyDescent="0.35">
      <c r="A29" s="9" t="s">
        <v>218</v>
      </c>
      <c r="B29" s="38">
        <v>2</v>
      </c>
      <c r="C29" s="11">
        <v>85000</v>
      </c>
      <c r="D29" s="12">
        <v>2</v>
      </c>
      <c r="E29" s="13">
        <f>B29-D29</f>
        <v>0</v>
      </c>
    </row>
    <row r="30" spans="1:5" x14ac:dyDescent="0.35">
      <c r="A30" s="9" t="s">
        <v>218</v>
      </c>
      <c r="B30" s="38">
        <v>7</v>
      </c>
      <c r="C30" s="11">
        <v>85000</v>
      </c>
      <c r="D30" s="12">
        <v>3</v>
      </c>
      <c r="E30" s="13">
        <f>B30-D30</f>
        <v>4</v>
      </c>
    </row>
    <row r="31" spans="1:5" x14ac:dyDescent="0.35">
      <c r="A31" s="9" t="s">
        <v>220</v>
      </c>
      <c r="B31" s="38">
        <v>2</v>
      </c>
      <c r="C31" s="11">
        <v>68000</v>
      </c>
      <c r="D31" s="12"/>
      <c r="E31" s="13">
        <f>B31-D31</f>
        <v>2</v>
      </c>
    </row>
    <row r="32" spans="1:5" x14ac:dyDescent="0.35">
      <c r="A32" s="9" t="s">
        <v>221</v>
      </c>
      <c r="B32" s="41">
        <v>3</v>
      </c>
      <c r="C32" s="11">
        <v>35250</v>
      </c>
      <c r="D32" s="12">
        <v>2</v>
      </c>
      <c r="E32" s="13">
        <f>B32-D32</f>
        <v>1</v>
      </c>
    </row>
    <row r="33" spans="1:5" x14ac:dyDescent="0.35">
      <c r="A33" s="9" t="s">
        <v>222</v>
      </c>
      <c r="B33" s="41">
        <v>5</v>
      </c>
      <c r="C33" s="11">
        <v>44950</v>
      </c>
      <c r="D33" s="12">
        <v>2</v>
      </c>
      <c r="E33" s="13">
        <f>B33-D33</f>
        <v>3</v>
      </c>
    </row>
    <row r="34" spans="1:5" x14ac:dyDescent="0.35">
      <c r="A34" s="9" t="s">
        <v>223</v>
      </c>
      <c r="B34" s="14">
        <v>2</v>
      </c>
      <c r="C34" s="11">
        <v>60000</v>
      </c>
      <c r="D34" s="12">
        <v>1</v>
      </c>
      <c r="E34" s="13">
        <f>B34-D34</f>
        <v>1</v>
      </c>
    </row>
    <row r="35" spans="1:5" x14ac:dyDescent="0.35">
      <c r="A35" s="9" t="s">
        <v>224</v>
      </c>
      <c r="B35" s="14">
        <v>8</v>
      </c>
      <c r="C35" s="11">
        <v>22800</v>
      </c>
      <c r="D35" s="12">
        <v>8</v>
      </c>
      <c r="E35" s="13">
        <f>B35-D35</f>
        <v>0</v>
      </c>
    </row>
    <row r="36" spans="1:5" x14ac:dyDescent="0.35">
      <c r="A36" s="9" t="s">
        <v>226</v>
      </c>
      <c r="B36" s="14">
        <v>10</v>
      </c>
      <c r="C36" s="11">
        <v>28000</v>
      </c>
      <c r="D36" s="12"/>
      <c r="E36" s="13">
        <f>B36-D36</f>
        <v>10</v>
      </c>
    </row>
    <row r="37" spans="1:5" x14ac:dyDescent="0.35">
      <c r="A37" s="10" t="s">
        <v>227</v>
      </c>
      <c r="B37" s="9">
        <v>6</v>
      </c>
      <c r="C37" s="11">
        <v>28000</v>
      </c>
      <c r="D37" s="12">
        <v>2</v>
      </c>
      <c r="E37" s="13">
        <f>B37-D37</f>
        <v>4</v>
      </c>
    </row>
    <row r="38" spans="1:5" x14ac:dyDescent="0.35">
      <c r="A38" s="9" t="s">
        <v>228</v>
      </c>
      <c r="B38" s="9">
        <v>15</v>
      </c>
      <c r="C38" s="11">
        <v>23000</v>
      </c>
      <c r="D38" s="12">
        <v>2</v>
      </c>
      <c r="E38" s="13">
        <f>B38-D38</f>
        <v>13</v>
      </c>
    </row>
    <row r="39" spans="1:5" x14ac:dyDescent="0.35">
      <c r="A39" s="9" t="s">
        <v>229</v>
      </c>
      <c r="B39" s="9">
        <v>2</v>
      </c>
      <c r="C39" s="11">
        <v>44000</v>
      </c>
      <c r="D39" s="12"/>
      <c r="E39" s="13">
        <f>B39-D39</f>
        <v>2</v>
      </c>
    </row>
    <row r="40" spans="1:5" x14ac:dyDescent="0.35">
      <c r="A40" s="9" t="s">
        <v>230</v>
      </c>
      <c r="B40" s="9">
        <v>1</v>
      </c>
      <c r="C40" s="11">
        <v>47600</v>
      </c>
      <c r="D40" s="12">
        <v>1</v>
      </c>
      <c r="E40" s="13">
        <f>B40-D40</f>
        <v>0</v>
      </c>
    </row>
    <row r="41" spans="1:5" x14ac:dyDescent="0.35">
      <c r="A41" s="9" t="s">
        <v>232</v>
      </c>
      <c r="B41" s="9">
        <v>5</v>
      </c>
      <c r="C41" s="11">
        <v>22000</v>
      </c>
      <c r="D41" s="12">
        <v>1</v>
      </c>
      <c r="E41" s="13">
        <f>B41-D41</f>
        <v>4</v>
      </c>
    </row>
    <row r="42" spans="1:5" x14ac:dyDescent="0.35">
      <c r="A42" s="9" t="s">
        <v>843</v>
      </c>
      <c r="B42" s="9">
        <v>1</v>
      </c>
      <c r="C42" s="11">
        <v>50000</v>
      </c>
      <c r="D42" s="12"/>
      <c r="E42" s="13">
        <f>B42-D42</f>
        <v>1</v>
      </c>
    </row>
    <row r="43" spans="1:5" x14ac:dyDescent="0.35">
      <c r="A43" s="9" t="s">
        <v>233</v>
      </c>
      <c r="B43" s="9">
        <v>7</v>
      </c>
      <c r="C43" s="11">
        <v>50000</v>
      </c>
      <c r="D43" s="12">
        <v>4</v>
      </c>
      <c r="E43" s="13">
        <f>B43-D43</f>
        <v>3</v>
      </c>
    </row>
    <row r="44" spans="1:5" x14ac:dyDescent="0.35">
      <c r="A44" s="9" t="s">
        <v>234</v>
      </c>
      <c r="B44" s="9">
        <v>3</v>
      </c>
      <c r="C44" s="11">
        <v>48000</v>
      </c>
      <c r="D44" s="12">
        <v>1</v>
      </c>
      <c r="E44" s="13">
        <f>B44-D44</f>
        <v>2</v>
      </c>
    </row>
    <row r="45" spans="1:5" x14ac:dyDescent="0.35">
      <c r="A45" s="9" t="s">
        <v>235</v>
      </c>
      <c r="B45" s="9">
        <v>1</v>
      </c>
      <c r="C45" s="11">
        <v>39900</v>
      </c>
      <c r="D45" s="12">
        <v>1</v>
      </c>
      <c r="E45" s="13">
        <f>B45-D45</f>
        <v>0</v>
      </c>
    </row>
    <row r="46" spans="1:5" x14ac:dyDescent="0.35">
      <c r="A46" s="9" t="s">
        <v>237</v>
      </c>
      <c r="B46" s="9">
        <v>2</v>
      </c>
      <c r="C46" s="15">
        <v>570000</v>
      </c>
      <c r="D46" s="12">
        <v>1</v>
      </c>
      <c r="E46" s="13">
        <f>B46-D46</f>
        <v>1</v>
      </c>
    </row>
    <row r="47" spans="1:5" x14ac:dyDescent="0.35">
      <c r="A47" s="9" t="s">
        <v>844</v>
      </c>
      <c r="B47" s="9">
        <v>20</v>
      </c>
      <c r="C47" s="11">
        <v>5000</v>
      </c>
      <c r="D47" s="12"/>
      <c r="E47" s="13">
        <f>B47-D47</f>
        <v>20</v>
      </c>
    </row>
    <row r="48" spans="1:5" x14ac:dyDescent="0.35">
      <c r="A48" s="9" t="s">
        <v>238</v>
      </c>
      <c r="B48" s="9">
        <v>10</v>
      </c>
      <c r="C48" s="11">
        <v>2600</v>
      </c>
      <c r="D48" s="12"/>
      <c r="E48" s="13">
        <f>B48-D48</f>
        <v>10</v>
      </c>
    </row>
    <row r="49" spans="1:5" x14ac:dyDescent="0.35">
      <c r="A49" s="9" t="s">
        <v>239</v>
      </c>
      <c r="B49" s="9">
        <v>60</v>
      </c>
      <c r="C49" s="11">
        <v>4500</v>
      </c>
      <c r="D49" s="12"/>
      <c r="E49" s="13">
        <f>B49-D49</f>
        <v>60</v>
      </c>
    </row>
    <row r="50" spans="1:5" x14ac:dyDescent="0.35">
      <c r="A50" s="9" t="s">
        <v>239</v>
      </c>
      <c r="B50" s="14">
        <v>41</v>
      </c>
      <c r="C50" s="11">
        <v>3500</v>
      </c>
      <c r="D50" s="12">
        <v>38</v>
      </c>
      <c r="E50" s="13">
        <f>B50-D50</f>
        <v>3</v>
      </c>
    </row>
    <row r="51" spans="1:5" x14ac:dyDescent="0.35">
      <c r="A51" s="9" t="s">
        <v>240</v>
      </c>
      <c r="B51" s="14">
        <v>19</v>
      </c>
      <c r="C51" s="11">
        <v>2015</v>
      </c>
      <c r="D51" s="12">
        <v>19</v>
      </c>
      <c r="E51" s="13">
        <f>B51-D51</f>
        <v>0</v>
      </c>
    </row>
    <row r="52" spans="1:5" x14ac:dyDescent="0.35">
      <c r="A52" s="9" t="s">
        <v>241</v>
      </c>
      <c r="B52" s="14">
        <v>9</v>
      </c>
      <c r="C52" s="11">
        <v>3500</v>
      </c>
      <c r="D52" s="12"/>
      <c r="E52" s="13">
        <f>B52-D52</f>
        <v>9</v>
      </c>
    </row>
    <row r="53" spans="1:5" x14ac:dyDescent="0.35">
      <c r="A53" s="9" t="s">
        <v>241</v>
      </c>
      <c r="B53" s="21">
        <v>40</v>
      </c>
      <c r="C53" s="11">
        <v>2500</v>
      </c>
      <c r="D53" s="12">
        <v>26</v>
      </c>
      <c r="E53" s="13">
        <f>B53-D53</f>
        <v>14</v>
      </c>
    </row>
    <row r="54" spans="1:5" x14ac:dyDescent="0.35">
      <c r="A54" s="9" t="s">
        <v>242</v>
      </c>
      <c r="B54" s="14">
        <v>10</v>
      </c>
      <c r="C54" s="11">
        <v>4030</v>
      </c>
      <c r="D54" s="12">
        <v>8</v>
      </c>
      <c r="E54" s="13">
        <f>B54-D54</f>
        <v>2</v>
      </c>
    </row>
    <row r="55" spans="1:5" x14ac:dyDescent="0.35">
      <c r="A55" s="9" t="s">
        <v>243</v>
      </c>
      <c r="B55" s="9">
        <v>2</v>
      </c>
      <c r="C55" s="11">
        <v>340000</v>
      </c>
      <c r="D55" s="12"/>
      <c r="E55" s="13">
        <f>B55-D55</f>
        <v>2</v>
      </c>
    </row>
    <row r="56" spans="1:5" x14ac:dyDescent="0.35">
      <c r="A56" s="9" t="s">
        <v>244</v>
      </c>
      <c r="B56" s="9">
        <v>3</v>
      </c>
      <c r="C56" s="11">
        <v>36000</v>
      </c>
      <c r="D56" s="12"/>
      <c r="E56" s="13">
        <f>B56-D56</f>
        <v>3</v>
      </c>
    </row>
    <row r="57" spans="1:5" x14ac:dyDescent="0.35">
      <c r="A57" s="9" t="s">
        <v>245</v>
      </c>
      <c r="B57" s="9">
        <v>3</v>
      </c>
      <c r="C57" s="11">
        <v>37000</v>
      </c>
      <c r="D57" s="12"/>
      <c r="E57" s="13">
        <f>B57-D57</f>
        <v>3</v>
      </c>
    </row>
    <row r="58" spans="1:5" x14ac:dyDescent="0.35">
      <c r="A58" s="9" t="s">
        <v>246</v>
      </c>
      <c r="B58" s="9">
        <v>2</v>
      </c>
      <c r="C58" s="11">
        <v>34200</v>
      </c>
      <c r="D58" s="12"/>
      <c r="E58" s="13">
        <f>B58-D58</f>
        <v>2</v>
      </c>
    </row>
    <row r="59" spans="1:5" x14ac:dyDescent="0.35">
      <c r="A59" s="9" t="s">
        <v>247</v>
      </c>
      <c r="B59" s="9">
        <v>4</v>
      </c>
      <c r="C59" s="11">
        <v>39600</v>
      </c>
      <c r="D59" s="12">
        <v>2</v>
      </c>
      <c r="E59" s="13">
        <f>B59-D59</f>
        <v>2</v>
      </c>
    </row>
    <row r="60" spans="1:5" x14ac:dyDescent="0.35">
      <c r="A60" s="9" t="s">
        <v>247</v>
      </c>
      <c r="B60" s="9">
        <v>7</v>
      </c>
      <c r="C60" s="11">
        <v>39600</v>
      </c>
      <c r="D60" s="12">
        <v>1</v>
      </c>
      <c r="E60" s="13">
        <f>B60-D60</f>
        <v>6</v>
      </c>
    </row>
    <row r="61" spans="1:5" x14ac:dyDescent="0.35">
      <c r="A61" s="9" t="s">
        <v>248</v>
      </c>
      <c r="B61" s="14">
        <v>1</v>
      </c>
      <c r="C61" s="11">
        <v>80000</v>
      </c>
      <c r="D61" s="12">
        <v>1</v>
      </c>
      <c r="E61" s="13">
        <f>B61-D61</f>
        <v>0</v>
      </c>
    </row>
    <row r="62" spans="1:5" x14ac:dyDescent="0.35">
      <c r="A62" s="9" t="s">
        <v>250</v>
      </c>
      <c r="B62" s="21">
        <v>1</v>
      </c>
      <c r="C62" s="11">
        <v>85000</v>
      </c>
      <c r="D62" s="12">
        <v>1</v>
      </c>
      <c r="E62" s="13">
        <f>B62-D62</f>
        <v>0</v>
      </c>
    </row>
    <row r="63" spans="1:5" x14ac:dyDescent="0.35">
      <c r="A63" s="9" t="s">
        <v>252</v>
      </c>
      <c r="B63" s="14">
        <v>4</v>
      </c>
      <c r="C63" s="11">
        <v>35000</v>
      </c>
      <c r="D63" s="12">
        <v>4</v>
      </c>
      <c r="E63" s="13">
        <f>B63-D63</f>
        <v>0</v>
      </c>
    </row>
    <row r="64" spans="1:5" x14ac:dyDescent="0.35">
      <c r="A64" s="9" t="s">
        <v>252</v>
      </c>
      <c r="B64" s="14">
        <v>20</v>
      </c>
      <c r="C64" s="11">
        <v>39000</v>
      </c>
      <c r="D64" s="12"/>
      <c r="E64" s="13">
        <f>B64-D64</f>
        <v>20</v>
      </c>
    </row>
    <row r="65" spans="1:5" x14ac:dyDescent="0.35">
      <c r="A65" s="9" t="s">
        <v>252</v>
      </c>
      <c r="B65" s="14">
        <v>13</v>
      </c>
      <c r="C65" s="11">
        <v>39000</v>
      </c>
      <c r="D65" s="12">
        <v>8</v>
      </c>
      <c r="E65" s="13">
        <f>B65-D65</f>
        <v>5</v>
      </c>
    </row>
    <row r="66" spans="1:5" x14ac:dyDescent="0.35">
      <c r="A66" s="9" t="s">
        <v>254</v>
      </c>
      <c r="B66" s="9">
        <v>1</v>
      </c>
      <c r="C66" s="11">
        <v>51300</v>
      </c>
      <c r="D66" s="12"/>
      <c r="E66" s="13">
        <f>B66-D66</f>
        <v>1</v>
      </c>
    </row>
    <row r="67" spans="1:5" x14ac:dyDescent="0.35">
      <c r="A67" s="21" t="s">
        <v>255</v>
      </c>
      <c r="B67" s="21">
        <v>2</v>
      </c>
      <c r="C67" s="11">
        <v>50000</v>
      </c>
      <c r="D67" s="12">
        <v>1</v>
      </c>
      <c r="E67" s="13">
        <f>B67-D67</f>
        <v>1</v>
      </c>
    </row>
    <row r="68" spans="1:5" x14ac:dyDescent="0.35">
      <c r="A68" s="10" t="s">
        <v>255</v>
      </c>
      <c r="B68" s="9">
        <v>2</v>
      </c>
      <c r="C68" s="11">
        <v>55000</v>
      </c>
      <c r="D68" s="12"/>
      <c r="E68" s="13">
        <f>B68-D68</f>
        <v>2</v>
      </c>
    </row>
    <row r="69" spans="1:5" x14ac:dyDescent="0.35">
      <c r="A69" s="9" t="s">
        <v>256</v>
      </c>
      <c r="B69" s="14">
        <v>1</v>
      </c>
      <c r="C69" s="11">
        <v>29450</v>
      </c>
      <c r="D69" s="12"/>
      <c r="E69" s="13">
        <f>B69-D69</f>
        <v>1</v>
      </c>
    </row>
    <row r="70" spans="1:5" x14ac:dyDescent="0.35">
      <c r="A70" s="10" t="s">
        <v>257</v>
      </c>
      <c r="B70" s="9">
        <v>4</v>
      </c>
      <c r="C70" s="11">
        <v>62000</v>
      </c>
      <c r="D70" s="12">
        <v>4</v>
      </c>
      <c r="E70" s="13">
        <f>B70-D70</f>
        <v>0</v>
      </c>
    </row>
    <row r="71" spans="1:5" x14ac:dyDescent="0.35">
      <c r="A71" s="9" t="s">
        <v>257</v>
      </c>
      <c r="B71" s="14">
        <v>5</v>
      </c>
      <c r="C71" s="11">
        <v>52700</v>
      </c>
      <c r="D71" s="12">
        <v>5</v>
      </c>
      <c r="E71" s="13">
        <f>B71-D71</f>
        <v>0</v>
      </c>
    </row>
    <row r="72" spans="1:5" x14ac:dyDescent="0.35">
      <c r="A72" s="9" t="s">
        <v>257</v>
      </c>
      <c r="B72" s="14">
        <v>12</v>
      </c>
      <c r="C72" s="11">
        <v>49600</v>
      </c>
      <c r="D72" s="12">
        <v>5</v>
      </c>
      <c r="E72" s="13">
        <f>B72-D72</f>
        <v>7</v>
      </c>
    </row>
    <row r="73" spans="1:5" x14ac:dyDescent="0.35">
      <c r="A73" s="10" t="s">
        <v>260</v>
      </c>
      <c r="B73" s="9">
        <v>8</v>
      </c>
      <c r="C73" s="11">
        <v>98000</v>
      </c>
      <c r="D73" s="12"/>
      <c r="E73" s="13">
        <f>B73-D73</f>
        <v>8</v>
      </c>
    </row>
    <row r="74" spans="1:5" x14ac:dyDescent="0.35">
      <c r="A74" s="10" t="s">
        <v>260</v>
      </c>
      <c r="B74" s="9">
        <v>4</v>
      </c>
      <c r="C74" s="11">
        <v>98000</v>
      </c>
      <c r="D74" s="12">
        <v>3</v>
      </c>
      <c r="E74" s="13">
        <f>B74-D74</f>
        <v>1</v>
      </c>
    </row>
    <row r="75" spans="1:5" x14ac:dyDescent="0.35">
      <c r="A75" s="10" t="s">
        <v>260</v>
      </c>
      <c r="B75" s="9">
        <v>3</v>
      </c>
      <c r="C75" s="11">
        <v>98000</v>
      </c>
      <c r="D75" s="12">
        <v>3</v>
      </c>
      <c r="E75" s="13">
        <f>B75-D75</f>
        <v>0</v>
      </c>
    </row>
    <row r="76" spans="1:5" x14ac:dyDescent="0.35">
      <c r="A76" s="9" t="s">
        <v>260</v>
      </c>
      <c r="B76" s="14">
        <v>6</v>
      </c>
      <c r="C76" s="11">
        <v>72850</v>
      </c>
      <c r="D76" s="12">
        <v>6</v>
      </c>
      <c r="E76" s="13">
        <f>B76-D76</f>
        <v>0</v>
      </c>
    </row>
    <row r="77" spans="1:5" x14ac:dyDescent="0.35">
      <c r="A77" s="9" t="s">
        <v>263</v>
      </c>
      <c r="B77" s="9">
        <v>1</v>
      </c>
      <c r="C77" s="11">
        <v>98000</v>
      </c>
      <c r="D77" s="12"/>
      <c r="E77" s="13">
        <f>B77-D77</f>
        <v>1</v>
      </c>
    </row>
    <row r="78" spans="1:5" x14ac:dyDescent="0.35">
      <c r="A78" s="9" t="s">
        <v>263</v>
      </c>
      <c r="B78" s="9">
        <v>6</v>
      </c>
      <c r="C78" s="11">
        <v>98000</v>
      </c>
      <c r="D78" s="12">
        <v>3</v>
      </c>
      <c r="E78" s="13">
        <f>B78-D78</f>
        <v>3</v>
      </c>
    </row>
    <row r="79" spans="1:5" x14ac:dyDescent="0.35">
      <c r="A79" s="9" t="s">
        <v>264</v>
      </c>
      <c r="B79" s="14">
        <v>1</v>
      </c>
      <c r="C79" s="11">
        <v>60000</v>
      </c>
      <c r="D79" s="12">
        <v>1</v>
      </c>
      <c r="E79" s="13">
        <f>B79-D79</f>
        <v>0</v>
      </c>
    </row>
    <row r="80" spans="1:5" x14ac:dyDescent="0.35">
      <c r="A80" s="9" t="s">
        <v>266</v>
      </c>
      <c r="B80" s="14">
        <v>1</v>
      </c>
      <c r="C80" s="11">
        <v>75000</v>
      </c>
      <c r="D80" s="12">
        <v>1</v>
      </c>
      <c r="E80" s="13">
        <f>B80-D80</f>
        <v>0</v>
      </c>
    </row>
    <row r="81" spans="1:5" x14ac:dyDescent="0.35">
      <c r="A81" s="9" t="s">
        <v>845</v>
      </c>
      <c r="B81" s="14">
        <v>2</v>
      </c>
      <c r="C81" s="11">
        <v>80000</v>
      </c>
      <c r="D81" s="12"/>
      <c r="E81" s="13">
        <f>B81-D81</f>
        <v>2</v>
      </c>
    </row>
    <row r="82" spans="1:5" x14ac:dyDescent="0.35">
      <c r="A82" s="9" t="s">
        <v>268</v>
      </c>
      <c r="B82" s="9">
        <v>3</v>
      </c>
      <c r="C82" s="11">
        <v>98000</v>
      </c>
      <c r="D82" s="12">
        <v>2</v>
      </c>
      <c r="E82" s="13">
        <f>B82-D82</f>
        <v>1</v>
      </c>
    </row>
    <row r="83" spans="1:5" x14ac:dyDescent="0.35">
      <c r="A83" s="9" t="s">
        <v>269</v>
      </c>
      <c r="B83" s="16">
        <v>3</v>
      </c>
      <c r="C83" s="11">
        <v>39000</v>
      </c>
      <c r="D83" s="12"/>
      <c r="E83" s="13">
        <f>B83-D83</f>
        <v>3</v>
      </c>
    </row>
    <row r="84" spans="1:5" x14ac:dyDescent="0.35">
      <c r="A84" s="9" t="s">
        <v>270</v>
      </c>
      <c r="B84" s="16">
        <v>3</v>
      </c>
      <c r="C84" s="11">
        <v>39000</v>
      </c>
      <c r="D84" s="12"/>
      <c r="E84" s="13">
        <f>B84-D84</f>
        <v>3</v>
      </c>
    </row>
    <row r="85" spans="1:5" x14ac:dyDescent="0.35">
      <c r="A85" s="9" t="s">
        <v>271</v>
      </c>
      <c r="B85" s="16">
        <v>2</v>
      </c>
      <c r="C85" s="11">
        <v>27610.799999999999</v>
      </c>
      <c r="D85" s="12"/>
      <c r="E85" s="13">
        <f>B85-D85</f>
        <v>2</v>
      </c>
    </row>
    <row r="86" spans="1:5" x14ac:dyDescent="0.35">
      <c r="A86" s="9" t="s">
        <v>272</v>
      </c>
      <c r="B86" s="16">
        <v>2</v>
      </c>
      <c r="C86" s="11">
        <v>27610.799999999999</v>
      </c>
      <c r="D86" s="12">
        <v>2</v>
      </c>
      <c r="E86" s="13">
        <f>B86-D86</f>
        <v>0</v>
      </c>
    </row>
    <row r="87" spans="1:5" x14ac:dyDescent="0.35">
      <c r="A87" s="9" t="s">
        <v>274</v>
      </c>
      <c r="B87" s="16">
        <v>2</v>
      </c>
      <c r="C87" s="11">
        <v>27610.799999999999</v>
      </c>
      <c r="D87" s="12"/>
      <c r="E87" s="13">
        <f>B87-D87</f>
        <v>2</v>
      </c>
    </row>
    <row r="88" spans="1:5" x14ac:dyDescent="0.35">
      <c r="A88" s="9" t="s">
        <v>275</v>
      </c>
      <c r="B88" s="16">
        <v>1</v>
      </c>
      <c r="C88" s="11">
        <v>32170.800000000003</v>
      </c>
      <c r="D88" s="12"/>
      <c r="E88" s="13">
        <f>B88-D88</f>
        <v>1</v>
      </c>
    </row>
    <row r="89" spans="1:5" x14ac:dyDescent="0.35">
      <c r="A89" s="9" t="s">
        <v>276</v>
      </c>
      <c r="B89" s="16">
        <v>1</v>
      </c>
      <c r="C89" s="11">
        <v>32170.800000000003</v>
      </c>
      <c r="D89" s="12">
        <v>1</v>
      </c>
      <c r="E89" s="13">
        <f>B89-D89</f>
        <v>0</v>
      </c>
    </row>
    <row r="90" spans="1:5" x14ac:dyDescent="0.35">
      <c r="A90" s="9" t="s">
        <v>278</v>
      </c>
      <c r="B90" s="16">
        <v>1</v>
      </c>
      <c r="C90" s="11">
        <v>32170.800000000003</v>
      </c>
      <c r="D90" s="12">
        <v>1</v>
      </c>
      <c r="E90" s="13">
        <f>B90-D90</f>
        <v>0</v>
      </c>
    </row>
    <row r="91" spans="1:5" x14ac:dyDescent="0.35">
      <c r="A91" s="9" t="s">
        <v>280</v>
      </c>
      <c r="B91" s="16">
        <v>1</v>
      </c>
      <c r="C91" s="11">
        <v>32170.800000000003</v>
      </c>
      <c r="D91" s="12"/>
      <c r="E91" s="13">
        <f>B91-D91</f>
        <v>1</v>
      </c>
    </row>
    <row r="92" spans="1:5" x14ac:dyDescent="0.35">
      <c r="A92" s="9" t="s">
        <v>281</v>
      </c>
      <c r="B92" s="16">
        <v>1</v>
      </c>
      <c r="C92" s="11">
        <v>32170.800000000003</v>
      </c>
      <c r="D92" s="12"/>
      <c r="E92" s="13">
        <f>B92-D92</f>
        <v>1</v>
      </c>
    </row>
    <row r="93" spans="1:5" x14ac:dyDescent="0.35">
      <c r="A93" s="9" t="s">
        <v>282</v>
      </c>
      <c r="B93" s="16">
        <v>1</v>
      </c>
      <c r="C93" s="11">
        <v>32170.800000000003</v>
      </c>
      <c r="D93" s="12">
        <v>1</v>
      </c>
      <c r="E93" s="13">
        <f>B93-D93</f>
        <v>0</v>
      </c>
    </row>
    <row r="94" spans="1:5" x14ac:dyDescent="0.35">
      <c r="A94" s="9" t="s">
        <v>284</v>
      </c>
      <c r="B94" s="16">
        <v>2</v>
      </c>
      <c r="C94" s="11">
        <v>63805.8</v>
      </c>
      <c r="D94" s="12"/>
      <c r="E94" s="13">
        <f>B94-D94</f>
        <v>2</v>
      </c>
    </row>
    <row r="95" spans="1:5" x14ac:dyDescent="0.35">
      <c r="A95" s="9" t="s">
        <v>285</v>
      </c>
      <c r="B95" s="16">
        <v>2</v>
      </c>
      <c r="C95" s="11">
        <v>67260</v>
      </c>
      <c r="D95" s="12"/>
      <c r="E95" s="13">
        <f>B95-D95</f>
        <v>2</v>
      </c>
    </row>
    <row r="96" spans="1:5" x14ac:dyDescent="0.35">
      <c r="A96" s="9" t="s">
        <v>286</v>
      </c>
      <c r="B96" s="16">
        <v>2</v>
      </c>
      <c r="C96" s="11">
        <v>67260</v>
      </c>
      <c r="D96" s="12">
        <v>1</v>
      </c>
      <c r="E96" s="13">
        <f>B96-D96</f>
        <v>1</v>
      </c>
    </row>
    <row r="97" spans="1:5" x14ac:dyDescent="0.35">
      <c r="A97" s="9" t="s">
        <v>287</v>
      </c>
      <c r="B97" s="9">
        <v>2</v>
      </c>
      <c r="C97" s="11">
        <v>30000</v>
      </c>
      <c r="D97" s="12"/>
      <c r="E97" s="13">
        <f>B97-D97</f>
        <v>2</v>
      </c>
    </row>
    <row r="98" spans="1:5" x14ac:dyDescent="0.35">
      <c r="A98" s="9" t="s">
        <v>288</v>
      </c>
      <c r="B98" s="9">
        <v>4</v>
      </c>
      <c r="C98" s="11">
        <v>22500</v>
      </c>
      <c r="D98" s="12"/>
      <c r="E98" s="13">
        <f>B98-D98</f>
        <v>4</v>
      </c>
    </row>
    <row r="99" spans="1:5" x14ac:dyDescent="0.35">
      <c r="A99" s="9" t="s">
        <v>289</v>
      </c>
      <c r="B99" s="9">
        <v>4</v>
      </c>
      <c r="C99" s="11">
        <v>22000</v>
      </c>
      <c r="D99" s="12"/>
      <c r="E99" s="13">
        <f>B99-D99</f>
        <v>4</v>
      </c>
    </row>
    <row r="100" spans="1:5" x14ac:dyDescent="0.35">
      <c r="A100" s="9" t="s">
        <v>290</v>
      </c>
      <c r="B100" s="9">
        <v>2</v>
      </c>
      <c r="C100" s="11">
        <v>22000</v>
      </c>
      <c r="D100" s="12"/>
      <c r="E100" s="13">
        <f>B100-D100</f>
        <v>2</v>
      </c>
    </row>
    <row r="101" spans="1:5" x14ac:dyDescent="0.35">
      <c r="A101" s="9" t="s">
        <v>291</v>
      </c>
      <c r="B101" s="9">
        <v>2</v>
      </c>
      <c r="C101" s="11">
        <v>23500</v>
      </c>
      <c r="D101" s="12"/>
      <c r="E101" s="13">
        <f>B101-D101</f>
        <v>2</v>
      </c>
    </row>
    <row r="102" spans="1:5" x14ac:dyDescent="0.35">
      <c r="A102" s="9" t="s">
        <v>292</v>
      </c>
      <c r="B102" s="9">
        <v>2</v>
      </c>
      <c r="C102" s="11">
        <v>22000</v>
      </c>
      <c r="D102" s="12"/>
      <c r="E102" s="13">
        <f>B102-D102</f>
        <v>2</v>
      </c>
    </row>
    <row r="103" spans="1:5" x14ac:dyDescent="0.35">
      <c r="A103" s="9" t="s">
        <v>293</v>
      </c>
      <c r="B103" s="9">
        <v>2</v>
      </c>
      <c r="C103" s="11">
        <v>23500</v>
      </c>
      <c r="D103" s="12">
        <v>1</v>
      </c>
      <c r="E103" s="13">
        <f>B103-D103</f>
        <v>1</v>
      </c>
    </row>
    <row r="104" spans="1:5" x14ac:dyDescent="0.35">
      <c r="A104" s="9" t="s">
        <v>294</v>
      </c>
      <c r="B104" s="9">
        <v>5</v>
      </c>
      <c r="C104" s="11">
        <v>28000</v>
      </c>
      <c r="D104" s="12"/>
      <c r="E104" s="13">
        <f>B104-D104</f>
        <v>5</v>
      </c>
    </row>
    <row r="105" spans="1:5" x14ac:dyDescent="0.35">
      <c r="A105" s="9" t="s">
        <v>295</v>
      </c>
      <c r="B105" s="9">
        <v>4</v>
      </c>
      <c r="C105" s="15">
        <v>48000</v>
      </c>
      <c r="D105" s="12"/>
      <c r="E105" s="13">
        <f>B105-D105</f>
        <v>4</v>
      </c>
    </row>
    <row r="106" spans="1:5" x14ac:dyDescent="0.35">
      <c r="A106" s="9" t="s">
        <v>296</v>
      </c>
      <c r="B106" s="9">
        <v>8</v>
      </c>
      <c r="C106" s="15">
        <v>90000</v>
      </c>
      <c r="D106" s="12">
        <v>3</v>
      </c>
      <c r="E106" s="13">
        <f>B106-D106</f>
        <v>5</v>
      </c>
    </row>
    <row r="107" spans="1:5" x14ac:dyDescent="0.35">
      <c r="A107" s="9" t="s">
        <v>296</v>
      </c>
      <c r="B107" s="9">
        <v>3</v>
      </c>
      <c r="C107" s="15">
        <v>90000</v>
      </c>
      <c r="D107" s="12">
        <v>3</v>
      </c>
      <c r="E107" s="13">
        <f>B107-D107</f>
        <v>0</v>
      </c>
    </row>
    <row r="108" spans="1:5" x14ac:dyDescent="0.35">
      <c r="A108" s="10" t="s">
        <v>298</v>
      </c>
      <c r="B108" s="9">
        <v>2</v>
      </c>
      <c r="C108" s="11">
        <v>120000</v>
      </c>
      <c r="D108" s="12"/>
      <c r="E108" s="13">
        <f>B108-D108</f>
        <v>2</v>
      </c>
    </row>
    <row r="109" spans="1:5" x14ac:dyDescent="0.35">
      <c r="A109" s="16" t="s">
        <v>299</v>
      </c>
      <c r="B109" s="16">
        <v>2</v>
      </c>
      <c r="C109" s="11">
        <v>87414.6</v>
      </c>
      <c r="D109" s="12">
        <v>2</v>
      </c>
      <c r="E109" s="13">
        <f>B109-D109</f>
        <v>0</v>
      </c>
    </row>
    <row r="110" spans="1:5" x14ac:dyDescent="0.35">
      <c r="A110" s="9" t="s">
        <v>301</v>
      </c>
      <c r="B110" s="9">
        <v>10</v>
      </c>
      <c r="C110" s="11">
        <v>12000</v>
      </c>
      <c r="D110" s="12"/>
      <c r="E110" s="13">
        <f>B110-D110</f>
        <v>10</v>
      </c>
    </row>
    <row r="111" spans="1:5" x14ac:dyDescent="0.35">
      <c r="A111" s="9" t="s">
        <v>302</v>
      </c>
      <c r="B111" s="14">
        <v>2</v>
      </c>
      <c r="C111" s="11">
        <v>9240</v>
      </c>
      <c r="D111" s="12">
        <v>2</v>
      </c>
      <c r="E111" s="13">
        <f>B111-D111</f>
        <v>0</v>
      </c>
    </row>
    <row r="112" spans="1:5" x14ac:dyDescent="0.35">
      <c r="A112" s="9" t="s">
        <v>304</v>
      </c>
      <c r="B112" s="14">
        <v>2</v>
      </c>
      <c r="C112" s="11">
        <v>77700</v>
      </c>
      <c r="D112" s="12">
        <v>2</v>
      </c>
      <c r="E112" s="13">
        <f>B112-D112</f>
        <v>0</v>
      </c>
    </row>
    <row r="113" spans="1:5" x14ac:dyDescent="0.35">
      <c r="A113" s="9" t="s">
        <v>306</v>
      </c>
      <c r="B113" s="9">
        <v>5</v>
      </c>
      <c r="C113" s="11">
        <v>32000</v>
      </c>
      <c r="D113" s="12"/>
      <c r="E113" s="13">
        <f>B113-D113</f>
        <v>5</v>
      </c>
    </row>
    <row r="114" spans="1:5" x14ac:dyDescent="0.35">
      <c r="A114" s="9" t="s">
        <v>306</v>
      </c>
      <c r="B114" s="9">
        <v>1</v>
      </c>
      <c r="C114" s="11">
        <v>32000</v>
      </c>
      <c r="D114" s="12">
        <v>1</v>
      </c>
      <c r="E114" s="13">
        <f>B114-D114</f>
        <v>0</v>
      </c>
    </row>
    <row r="115" spans="1:5" x14ac:dyDescent="0.35">
      <c r="A115" s="9" t="s">
        <v>846</v>
      </c>
      <c r="B115" s="9">
        <v>2</v>
      </c>
      <c r="C115" s="11">
        <v>48000</v>
      </c>
      <c r="D115" s="12"/>
      <c r="E115" s="13">
        <f>B115-D115</f>
        <v>2</v>
      </c>
    </row>
    <row r="116" spans="1:5" x14ac:dyDescent="0.35">
      <c r="A116" s="9" t="s">
        <v>308</v>
      </c>
      <c r="B116" s="14">
        <v>2</v>
      </c>
      <c r="C116" s="11">
        <v>58275</v>
      </c>
      <c r="D116" s="12">
        <v>2</v>
      </c>
      <c r="E116" s="13">
        <f>B116-D116</f>
        <v>0</v>
      </c>
    </row>
    <row r="117" spans="1:5" x14ac:dyDescent="0.35">
      <c r="A117" s="9" t="s">
        <v>308</v>
      </c>
      <c r="B117" s="9">
        <v>7</v>
      </c>
      <c r="C117" s="11">
        <v>61000</v>
      </c>
      <c r="D117" s="12">
        <v>1</v>
      </c>
      <c r="E117" s="13">
        <f>B117-D117</f>
        <v>6</v>
      </c>
    </row>
    <row r="118" spans="1:5" x14ac:dyDescent="0.35">
      <c r="A118" s="9" t="s">
        <v>310</v>
      </c>
      <c r="B118" s="14">
        <v>2</v>
      </c>
      <c r="C118" s="11">
        <v>58275</v>
      </c>
      <c r="D118" s="12">
        <v>2</v>
      </c>
      <c r="E118" s="13">
        <f>B118-D118</f>
        <v>0</v>
      </c>
    </row>
    <row r="119" spans="1:5" x14ac:dyDescent="0.35">
      <c r="A119" s="9" t="s">
        <v>310</v>
      </c>
      <c r="B119" s="9">
        <v>6</v>
      </c>
      <c r="C119" s="11">
        <v>61000</v>
      </c>
      <c r="D119" s="12">
        <v>2</v>
      </c>
      <c r="E119" s="13">
        <f>B119-D119</f>
        <v>4</v>
      </c>
    </row>
    <row r="120" spans="1:5" x14ac:dyDescent="0.35">
      <c r="A120" s="9" t="s">
        <v>312</v>
      </c>
      <c r="B120" s="14">
        <v>2</v>
      </c>
      <c r="C120" s="11">
        <v>58275</v>
      </c>
      <c r="D120" s="12">
        <v>2</v>
      </c>
      <c r="E120" s="13">
        <f>B120-D120</f>
        <v>0</v>
      </c>
    </row>
    <row r="121" spans="1:5" x14ac:dyDescent="0.35">
      <c r="A121" s="9" t="s">
        <v>312</v>
      </c>
      <c r="B121" s="9">
        <v>10</v>
      </c>
      <c r="C121" s="11">
        <v>61000</v>
      </c>
      <c r="D121" s="12">
        <v>2</v>
      </c>
      <c r="E121" s="13">
        <f>B121-D121</f>
        <v>8</v>
      </c>
    </row>
    <row r="122" spans="1:5" x14ac:dyDescent="0.35">
      <c r="A122" s="9" t="s">
        <v>314</v>
      </c>
      <c r="B122" s="14">
        <v>2</v>
      </c>
      <c r="C122" s="11">
        <v>58275</v>
      </c>
      <c r="D122" s="12">
        <v>2</v>
      </c>
      <c r="E122" s="13">
        <f>B122-D122</f>
        <v>0</v>
      </c>
    </row>
    <row r="123" spans="1:5" x14ac:dyDescent="0.35">
      <c r="A123" s="9" t="s">
        <v>314</v>
      </c>
      <c r="B123" s="9">
        <v>2</v>
      </c>
      <c r="C123" s="11">
        <v>61000</v>
      </c>
      <c r="D123" s="12">
        <v>1</v>
      </c>
      <c r="E123" s="13">
        <f>B123-D123</f>
        <v>1</v>
      </c>
    </row>
    <row r="124" spans="1:5" x14ac:dyDescent="0.35">
      <c r="A124" s="9" t="s">
        <v>316</v>
      </c>
      <c r="B124" s="9">
        <v>2</v>
      </c>
      <c r="C124" s="11">
        <v>35000</v>
      </c>
      <c r="D124" s="12"/>
      <c r="E124" s="13">
        <f>B124-D124</f>
        <v>2</v>
      </c>
    </row>
    <row r="125" spans="1:5" x14ac:dyDescent="0.35">
      <c r="A125" s="9" t="s">
        <v>316</v>
      </c>
      <c r="B125" s="9">
        <v>2</v>
      </c>
      <c r="C125" s="11">
        <v>32000</v>
      </c>
      <c r="D125" s="12">
        <v>2</v>
      </c>
      <c r="E125" s="13">
        <f>B125-D125</f>
        <v>0</v>
      </c>
    </row>
    <row r="126" spans="1:5" x14ac:dyDescent="0.35">
      <c r="A126" s="9" t="s">
        <v>318</v>
      </c>
      <c r="B126" s="14">
        <v>2</v>
      </c>
      <c r="C126" s="11">
        <v>28900</v>
      </c>
      <c r="D126" s="12">
        <v>2</v>
      </c>
      <c r="E126" s="13">
        <f>B126-D126</f>
        <v>0</v>
      </c>
    </row>
    <row r="127" spans="1:5" x14ac:dyDescent="0.35">
      <c r="A127" s="9" t="s">
        <v>318</v>
      </c>
      <c r="B127" s="14">
        <v>2</v>
      </c>
      <c r="C127" s="11">
        <v>45900</v>
      </c>
      <c r="D127" s="12"/>
      <c r="E127" s="13">
        <f>B127-D127</f>
        <v>2</v>
      </c>
    </row>
    <row r="128" spans="1:5" x14ac:dyDescent="0.35">
      <c r="A128" s="9" t="s">
        <v>320</v>
      </c>
      <c r="B128" s="14">
        <v>2</v>
      </c>
      <c r="C128" s="11">
        <v>50000</v>
      </c>
      <c r="D128" s="12"/>
      <c r="E128" s="13">
        <f>B128-D128</f>
        <v>2</v>
      </c>
    </row>
    <row r="129" spans="1:5" x14ac:dyDescent="0.35">
      <c r="A129" s="9" t="s">
        <v>320</v>
      </c>
      <c r="B129" s="9">
        <v>1</v>
      </c>
      <c r="C129" s="11">
        <v>45000</v>
      </c>
      <c r="D129" s="12"/>
      <c r="E129" s="13">
        <f>B129-D129</f>
        <v>1</v>
      </c>
    </row>
    <row r="130" spans="1:5" x14ac:dyDescent="0.35">
      <c r="A130" s="9" t="s">
        <v>847</v>
      </c>
      <c r="B130" s="14">
        <v>1</v>
      </c>
      <c r="C130" s="11">
        <v>50000</v>
      </c>
      <c r="D130" s="12"/>
      <c r="E130" s="13">
        <f>B130-D130</f>
        <v>1</v>
      </c>
    </row>
    <row r="131" spans="1:5" x14ac:dyDescent="0.35">
      <c r="A131" s="9" t="s">
        <v>848</v>
      </c>
      <c r="B131" s="14">
        <v>1</v>
      </c>
      <c r="C131" s="11">
        <v>50000</v>
      </c>
      <c r="D131" s="12"/>
      <c r="E131" s="13">
        <f>B131-D131</f>
        <v>1</v>
      </c>
    </row>
    <row r="132" spans="1:5" x14ac:dyDescent="0.35">
      <c r="A132" s="9" t="s">
        <v>849</v>
      </c>
      <c r="B132" s="14">
        <v>1</v>
      </c>
      <c r="C132" s="11">
        <v>50000</v>
      </c>
      <c r="D132" s="12"/>
      <c r="E132" s="13">
        <f>B132-D132</f>
        <v>1</v>
      </c>
    </row>
    <row r="133" spans="1:5" x14ac:dyDescent="0.35">
      <c r="A133" s="9" t="s">
        <v>850</v>
      </c>
      <c r="B133" s="14">
        <v>1</v>
      </c>
      <c r="C133" s="11">
        <v>50000</v>
      </c>
      <c r="D133" s="12"/>
      <c r="E133" s="13">
        <f>B133-D133</f>
        <v>1</v>
      </c>
    </row>
    <row r="134" spans="1:5" x14ac:dyDescent="0.35">
      <c r="A134" s="9" t="s">
        <v>851</v>
      </c>
      <c r="B134" s="14">
        <v>2</v>
      </c>
      <c r="C134" s="11">
        <v>450000</v>
      </c>
      <c r="D134" s="12"/>
      <c r="E134" s="13">
        <f>B134-D134</f>
        <v>2</v>
      </c>
    </row>
    <row r="135" spans="1:5" x14ac:dyDescent="0.35">
      <c r="A135" s="9" t="s">
        <v>852</v>
      </c>
      <c r="B135" s="14">
        <v>2</v>
      </c>
      <c r="C135" s="11">
        <v>50000</v>
      </c>
      <c r="D135" s="12"/>
      <c r="E135" s="13">
        <f>B135-D135</f>
        <v>2</v>
      </c>
    </row>
    <row r="136" spans="1:5" x14ac:dyDescent="0.35">
      <c r="A136" s="9" t="s">
        <v>853</v>
      </c>
      <c r="B136" s="14">
        <v>2</v>
      </c>
      <c r="C136" s="11">
        <v>61000</v>
      </c>
      <c r="D136" s="12"/>
      <c r="E136" s="13">
        <f>B136-D136</f>
        <v>2</v>
      </c>
    </row>
    <row r="137" spans="1:5" x14ac:dyDescent="0.35">
      <c r="A137" s="9" t="s">
        <v>321</v>
      </c>
      <c r="B137" s="9">
        <v>2</v>
      </c>
      <c r="C137" s="11">
        <v>58000</v>
      </c>
      <c r="D137" s="12"/>
      <c r="E137" s="13">
        <f>B137-D137</f>
        <v>2</v>
      </c>
    </row>
    <row r="138" spans="1:5" x14ac:dyDescent="0.35">
      <c r="A138" s="9" t="s">
        <v>322</v>
      </c>
      <c r="B138" s="9">
        <v>1</v>
      </c>
      <c r="C138" s="11">
        <v>40700</v>
      </c>
      <c r="D138" s="12">
        <v>1</v>
      </c>
      <c r="E138" s="13">
        <f>B138-D138</f>
        <v>0</v>
      </c>
    </row>
    <row r="139" spans="1:5" x14ac:dyDescent="0.35">
      <c r="A139" s="21" t="s">
        <v>324</v>
      </c>
      <c r="B139" s="21">
        <v>5</v>
      </c>
      <c r="C139" s="11">
        <v>45000</v>
      </c>
      <c r="D139" s="12">
        <v>1</v>
      </c>
      <c r="E139" s="13">
        <f>B139-D139</f>
        <v>4</v>
      </c>
    </row>
    <row r="140" spans="1:5" x14ac:dyDescent="0.35">
      <c r="A140" s="9" t="s">
        <v>325</v>
      </c>
      <c r="B140" s="9">
        <v>1</v>
      </c>
      <c r="C140" s="11">
        <v>16000</v>
      </c>
      <c r="D140" s="12"/>
      <c r="E140" s="13">
        <f>B140-D140</f>
        <v>1</v>
      </c>
    </row>
    <row r="141" spans="1:5" x14ac:dyDescent="0.35">
      <c r="A141" s="19" t="s">
        <v>326</v>
      </c>
      <c r="B141" s="21">
        <v>2</v>
      </c>
      <c r="C141" s="11">
        <v>35000</v>
      </c>
      <c r="D141" s="12">
        <v>1</v>
      </c>
      <c r="E141" s="13">
        <f>B141-D141</f>
        <v>1</v>
      </c>
    </row>
    <row r="142" spans="1:5" x14ac:dyDescent="0.35">
      <c r="A142" s="19" t="s">
        <v>327</v>
      </c>
      <c r="B142" s="21">
        <v>3</v>
      </c>
      <c r="C142" s="11">
        <v>49000</v>
      </c>
      <c r="D142" s="12">
        <v>1</v>
      </c>
      <c r="E142" s="13">
        <f>B142-D142</f>
        <v>2</v>
      </c>
    </row>
    <row r="143" spans="1:5" x14ac:dyDescent="0.35">
      <c r="A143" s="42" t="s">
        <v>328</v>
      </c>
      <c r="B143" s="9">
        <v>3</v>
      </c>
      <c r="C143" s="15">
        <v>35000</v>
      </c>
      <c r="D143" s="12">
        <v>1</v>
      </c>
      <c r="E143" s="13">
        <f>B143-D143</f>
        <v>2</v>
      </c>
    </row>
    <row r="144" spans="1:5" x14ac:dyDescent="0.35">
      <c r="A144" s="9" t="s">
        <v>329</v>
      </c>
      <c r="B144" s="9">
        <v>1</v>
      </c>
      <c r="C144" s="11">
        <v>232500</v>
      </c>
      <c r="D144" s="12">
        <v>1</v>
      </c>
      <c r="E144" s="13">
        <f>B144-D144</f>
        <v>0</v>
      </c>
    </row>
    <row r="145" spans="1:5" x14ac:dyDescent="0.35">
      <c r="A145" s="9" t="s">
        <v>329</v>
      </c>
      <c r="B145" s="9">
        <v>13</v>
      </c>
      <c r="C145" s="11">
        <v>190000</v>
      </c>
      <c r="D145" s="12">
        <v>4</v>
      </c>
      <c r="E145" s="13">
        <f>B145-D145</f>
        <v>9</v>
      </c>
    </row>
    <row r="146" spans="1:5" x14ac:dyDescent="0.35">
      <c r="A146" s="9" t="s">
        <v>329</v>
      </c>
      <c r="B146" s="9">
        <v>7</v>
      </c>
      <c r="C146" s="11">
        <v>190000</v>
      </c>
      <c r="D146" s="12">
        <v>7</v>
      </c>
      <c r="E146" s="13">
        <f>B146-D146</f>
        <v>0</v>
      </c>
    </row>
    <row r="147" spans="1:5" x14ac:dyDescent="0.35">
      <c r="A147" s="9" t="s">
        <v>331</v>
      </c>
      <c r="B147" s="21">
        <v>5</v>
      </c>
      <c r="C147" s="11">
        <v>232500</v>
      </c>
      <c r="D147" s="12">
        <v>2</v>
      </c>
      <c r="E147" s="13">
        <f>B147-D147</f>
        <v>3</v>
      </c>
    </row>
    <row r="148" spans="1:5" x14ac:dyDescent="0.35">
      <c r="A148" s="9" t="s">
        <v>332</v>
      </c>
      <c r="B148" s="9">
        <v>3</v>
      </c>
      <c r="C148" s="11">
        <v>165000</v>
      </c>
      <c r="D148" s="12">
        <v>3</v>
      </c>
      <c r="E148" s="13">
        <f>B148-D148</f>
        <v>0</v>
      </c>
    </row>
    <row r="149" spans="1:5" x14ac:dyDescent="0.35">
      <c r="A149" s="9" t="s">
        <v>332</v>
      </c>
      <c r="B149" s="9">
        <v>11</v>
      </c>
      <c r="C149" s="11">
        <v>165000</v>
      </c>
      <c r="D149" s="12">
        <v>6</v>
      </c>
      <c r="E149" s="13">
        <f>B149-D149</f>
        <v>5</v>
      </c>
    </row>
    <row r="150" spans="1:5" x14ac:dyDescent="0.35">
      <c r="A150" s="9" t="s">
        <v>332</v>
      </c>
      <c r="B150" s="9">
        <v>5</v>
      </c>
      <c r="C150" s="11">
        <v>165000</v>
      </c>
      <c r="D150" s="12">
        <v>5</v>
      </c>
      <c r="E150" s="13">
        <f>B150-D150</f>
        <v>0</v>
      </c>
    </row>
    <row r="151" spans="1:5" x14ac:dyDescent="0.35">
      <c r="A151" s="9" t="s">
        <v>335</v>
      </c>
      <c r="B151" s="9">
        <v>1</v>
      </c>
      <c r="C151" s="11">
        <v>7200</v>
      </c>
      <c r="D151" s="12"/>
      <c r="E151" s="13">
        <f>B151-D151</f>
        <v>1</v>
      </c>
    </row>
    <row r="152" spans="1:5" x14ac:dyDescent="0.35">
      <c r="A152" s="9" t="s">
        <v>336</v>
      </c>
      <c r="B152" s="9">
        <v>1</v>
      </c>
      <c r="C152" s="11">
        <v>7200</v>
      </c>
      <c r="D152" s="12"/>
      <c r="E152" s="13">
        <f>B152-D152</f>
        <v>1</v>
      </c>
    </row>
    <row r="153" spans="1:5" x14ac:dyDescent="0.35">
      <c r="A153" s="9" t="s">
        <v>337</v>
      </c>
      <c r="B153" s="14">
        <v>1</v>
      </c>
      <c r="C153" s="11">
        <v>65000</v>
      </c>
      <c r="D153" s="12">
        <v>1</v>
      </c>
      <c r="E153" s="13">
        <f>B153-D153</f>
        <v>0</v>
      </c>
    </row>
    <row r="154" spans="1:5" x14ac:dyDescent="0.35">
      <c r="A154" s="9" t="s">
        <v>339</v>
      </c>
      <c r="B154" s="9">
        <v>10</v>
      </c>
      <c r="C154" s="11">
        <v>11400</v>
      </c>
      <c r="D154" s="12">
        <v>1</v>
      </c>
      <c r="E154" s="13">
        <f>B154-D154</f>
        <v>9</v>
      </c>
    </row>
    <row r="155" spans="1:5" x14ac:dyDescent="0.35">
      <c r="A155" s="9" t="s">
        <v>340</v>
      </c>
      <c r="B155" s="14">
        <v>4</v>
      </c>
      <c r="C155" s="11">
        <v>24000</v>
      </c>
      <c r="D155" s="12"/>
      <c r="E155" s="13">
        <f>B155-D155</f>
        <v>4</v>
      </c>
    </row>
    <row r="156" spans="1:5" x14ac:dyDescent="0.35">
      <c r="A156" s="9" t="s">
        <v>342</v>
      </c>
      <c r="B156" s="14">
        <v>4</v>
      </c>
      <c r="C156" s="11">
        <v>19300</v>
      </c>
      <c r="D156" s="12">
        <v>1</v>
      </c>
      <c r="E156" s="13">
        <f>B156-D156</f>
        <v>3</v>
      </c>
    </row>
    <row r="157" spans="1:5" x14ac:dyDescent="0.35">
      <c r="A157" s="9" t="s">
        <v>343</v>
      </c>
      <c r="B157" s="14">
        <v>12</v>
      </c>
      <c r="C157" s="11">
        <v>22000</v>
      </c>
      <c r="D157" s="12">
        <v>2</v>
      </c>
      <c r="E157" s="13">
        <f>B157-D157</f>
        <v>10</v>
      </c>
    </row>
    <row r="158" spans="1:5" x14ac:dyDescent="0.35">
      <c r="A158" s="9" t="s">
        <v>345</v>
      </c>
      <c r="B158" s="14">
        <v>4</v>
      </c>
      <c r="C158" s="11">
        <v>18600</v>
      </c>
      <c r="D158" s="12">
        <v>4</v>
      </c>
      <c r="E158" s="13">
        <f>B158-D158</f>
        <v>0</v>
      </c>
    </row>
    <row r="159" spans="1:5" x14ac:dyDescent="0.35">
      <c r="A159" s="9" t="s">
        <v>347</v>
      </c>
      <c r="B159" s="14">
        <v>6</v>
      </c>
      <c r="C159" s="11">
        <v>25800</v>
      </c>
      <c r="D159" s="12">
        <v>6</v>
      </c>
      <c r="E159" s="13">
        <f>B159-D159</f>
        <v>0</v>
      </c>
    </row>
    <row r="160" spans="1:5" x14ac:dyDescent="0.35">
      <c r="A160" s="9" t="s">
        <v>349</v>
      </c>
      <c r="B160" s="14">
        <v>3</v>
      </c>
      <c r="C160" s="11">
        <v>18750</v>
      </c>
      <c r="D160" s="12">
        <v>3</v>
      </c>
      <c r="E160" s="13">
        <f>B160-D160</f>
        <v>0</v>
      </c>
    </row>
    <row r="161" spans="1:5" x14ac:dyDescent="0.35">
      <c r="A161" s="9" t="s">
        <v>350</v>
      </c>
      <c r="B161" s="14">
        <v>3</v>
      </c>
      <c r="C161" s="11">
        <v>20950</v>
      </c>
      <c r="D161" s="12">
        <v>3</v>
      </c>
      <c r="E161" s="13">
        <f>B161-D161</f>
        <v>0</v>
      </c>
    </row>
    <row r="162" spans="1:5" x14ac:dyDescent="0.35">
      <c r="A162" s="21" t="s">
        <v>351</v>
      </c>
      <c r="B162" s="14">
        <v>10</v>
      </c>
      <c r="C162" s="11">
        <v>15000</v>
      </c>
      <c r="D162" s="12"/>
      <c r="E162" s="13">
        <f>B162-D162</f>
        <v>10</v>
      </c>
    </row>
    <row r="163" spans="1:5" x14ac:dyDescent="0.35">
      <c r="A163" s="9" t="s">
        <v>353</v>
      </c>
      <c r="B163" s="9">
        <v>36</v>
      </c>
      <c r="C163" s="15">
        <v>15000</v>
      </c>
      <c r="D163" s="12">
        <v>14</v>
      </c>
      <c r="E163" s="13">
        <f>B163-D163</f>
        <v>22</v>
      </c>
    </row>
    <row r="164" spans="1:5" x14ac:dyDescent="0.35">
      <c r="A164" s="43" t="s">
        <v>354</v>
      </c>
      <c r="B164" s="21">
        <v>10</v>
      </c>
      <c r="C164" s="11">
        <v>6000</v>
      </c>
      <c r="D164" s="12"/>
      <c r="E164" s="13">
        <f>B164-D164</f>
        <v>10</v>
      </c>
    </row>
    <row r="165" spans="1:5" x14ac:dyDescent="0.35">
      <c r="A165" s="43" t="s">
        <v>355</v>
      </c>
      <c r="B165" s="21">
        <v>10</v>
      </c>
      <c r="C165" s="11">
        <v>6000</v>
      </c>
      <c r="D165" s="12"/>
      <c r="E165" s="13">
        <f>B165-D165</f>
        <v>10</v>
      </c>
    </row>
    <row r="166" spans="1:5" x14ac:dyDescent="0.35">
      <c r="A166" s="10" t="s">
        <v>356</v>
      </c>
      <c r="B166" s="21">
        <v>10</v>
      </c>
      <c r="C166" s="11">
        <v>7500</v>
      </c>
      <c r="D166" s="12"/>
      <c r="E166" s="13">
        <f>B166-D166</f>
        <v>10</v>
      </c>
    </row>
    <row r="167" spans="1:5" x14ac:dyDescent="0.35">
      <c r="A167" s="10" t="s">
        <v>356</v>
      </c>
      <c r="B167" s="9">
        <v>15</v>
      </c>
      <c r="C167" s="11">
        <v>7500</v>
      </c>
      <c r="D167" s="12">
        <v>10</v>
      </c>
      <c r="E167" s="13">
        <f>B167-D167</f>
        <v>5</v>
      </c>
    </row>
    <row r="168" spans="1:5" x14ac:dyDescent="0.35">
      <c r="A168" s="10" t="s">
        <v>357</v>
      </c>
      <c r="B168" s="9">
        <v>5</v>
      </c>
      <c r="C168" s="11">
        <v>5500</v>
      </c>
      <c r="D168" s="12"/>
      <c r="E168" s="13">
        <f>B168-D168</f>
        <v>5</v>
      </c>
    </row>
    <row r="169" spans="1:5" x14ac:dyDescent="0.35">
      <c r="A169" s="10" t="s">
        <v>358</v>
      </c>
      <c r="B169" s="9">
        <v>15</v>
      </c>
      <c r="C169" s="11">
        <v>7500</v>
      </c>
      <c r="D169" s="12">
        <v>2</v>
      </c>
      <c r="E169" s="13">
        <f>B169-D169</f>
        <v>13</v>
      </c>
    </row>
    <row r="170" spans="1:5" x14ac:dyDescent="0.35">
      <c r="A170" s="10" t="s">
        <v>359</v>
      </c>
      <c r="B170" s="9">
        <v>5</v>
      </c>
      <c r="C170" s="11">
        <v>6000</v>
      </c>
      <c r="D170" s="12"/>
      <c r="E170" s="13">
        <f>B170-D170</f>
        <v>5</v>
      </c>
    </row>
    <row r="171" spans="1:5" x14ac:dyDescent="0.35">
      <c r="A171" s="10" t="s">
        <v>360</v>
      </c>
      <c r="B171" s="9">
        <v>10</v>
      </c>
      <c r="C171" s="11">
        <v>9500</v>
      </c>
      <c r="D171" s="12"/>
      <c r="E171" s="13">
        <f>B171-D171</f>
        <v>10</v>
      </c>
    </row>
    <row r="172" spans="1:5" x14ac:dyDescent="0.35">
      <c r="A172" s="10" t="s">
        <v>361</v>
      </c>
      <c r="B172" s="9">
        <v>10</v>
      </c>
      <c r="C172" s="11">
        <v>10500</v>
      </c>
      <c r="D172" s="12"/>
      <c r="E172" s="13">
        <f>B172-D172</f>
        <v>10</v>
      </c>
    </row>
    <row r="173" spans="1:5" x14ac:dyDescent="0.35">
      <c r="A173" s="10" t="s">
        <v>362</v>
      </c>
      <c r="B173" s="9">
        <v>5</v>
      </c>
      <c r="C173" s="11">
        <v>11000</v>
      </c>
      <c r="D173" s="12"/>
      <c r="E173" s="13">
        <f>B173-D173</f>
        <v>5</v>
      </c>
    </row>
    <row r="174" spans="1:5" x14ac:dyDescent="0.35">
      <c r="A174" s="10" t="s">
        <v>363</v>
      </c>
      <c r="B174" s="21">
        <v>10</v>
      </c>
      <c r="C174" s="11">
        <v>12000</v>
      </c>
      <c r="D174" s="12"/>
      <c r="E174" s="13">
        <f>B174-D174</f>
        <v>10</v>
      </c>
    </row>
    <row r="175" spans="1:5" x14ac:dyDescent="0.35">
      <c r="A175" s="9" t="s">
        <v>364</v>
      </c>
      <c r="B175" s="14">
        <v>2</v>
      </c>
      <c r="C175" s="11">
        <v>51150</v>
      </c>
      <c r="D175" s="12">
        <v>1</v>
      </c>
      <c r="E175" s="13">
        <f>B175-D175</f>
        <v>1</v>
      </c>
    </row>
    <row r="176" spans="1:5" x14ac:dyDescent="0.35">
      <c r="A176" s="9" t="s">
        <v>365</v>
      </c>
      <c r="B176" s="14">
        <v>1</v>
      </c>
      <c r="C176" s="11">
        <v>68200</v>
      </c>
      <c r="D176" s="12"/>
      <c r="E176" s="13">
        <f>B176-D176</f>
        <v>1</v>
      </c>
    </row>
    <row r="177" spans="1:5" x14ac:dyDescent="0.35">
      <c r="A177" s="9" t="s">
        <v>366</v>
      </c>
      <c r="B177" s="14">
        <v>1</v>
      </c>
      <c r="C177" s="11">
        <v>65100</v>
      </c>
      <c r="D177" s="12"/>
      <c r="E177" s="13">
        <f>B177-D177</f>
        <v>1</v>
      </c>
    </row>
    <row r="178" spans="1:5" x14ac:dyDescent="0.35">
      <c r="A178" s="9" t="s">
        <v>367</v>
      </c>
      <c r="B178" s="14">
        <v>1</v>
      </c>
      <c r="C178" s="11">
        <v>100750</v>
      </c>
      <c r="D178" s="12"/>
      <c r="E178" s="13">
        <f>B178-D178</f>
        <v>1</v>
      </c>
    </row>
    <row r="179" spans="1:5" x14ac:dyDescent="0.35">
      <c r="A179" s="9" t="s">
        <v>368</v>
      </c>
      <c r="B179" s="14">
        <v>2</v>
      </c>
      <c r="C179" s="11">
        <v>45000</v>
      </c>
      <c r="D179" s="12">
        <v>1</v>
      </c>
      <c r="E179" s="13">
        <f>B179-D179</f>
        <v>1</v>
      </c>
    </row>
    <row r="180" spans="1:5" x14ac:dyDescent="0.35">
      <c r="A180" s="9" t="s">
        <v>369</v>
      </c>
      <c r="B180" s="9">
        <v>12</v>
      </c>
      <c r="C180" s="11">
        <v>30000</v>
      </c>
      <c r="D180" s="12"/>
      <c r="E180" s="13">
        <f>B180-D180</f>
        <v>12</v>
      </c>
    </row>
    <row r="181" spans="1:5" x14ac:dyDescent="0.35">
      <c r="A181" s="9" t="s">
        <v>370</v>
      </c>
      <c r="B181" s="9">
        <v>5</v>
      </c>
      <c r="C181" s="11">
        <v>70000</v>
      </c>
      <c r="D181" s="12">
        <v>2</v>
      </c>
      <c r="E181" s="13">
        <f>B181-D181</f>
        <v>3</v>
      </c>
    </row>
    <row r="182" spans="1:5" x14ac:dyDescent="0.35">
      <c r="A182" s="9" t="s">
        <v>854</v>
      </c>
      <c r="B182" s="21">
        <v>5</v>
      </c>
      <c r="C182" s="11">
        <v>25000</v>
      </c>
      <c r="D182" s="12"/>
      <c r="E182" s="13">
        <f>B182-D182</f>
        <v>5</v>
      </c>
    </row>
    <row r="183" spans="1:5" x14ac:dyDescent="0.35">
      <c r="A183" s="9" t="s">
        <v>855</v>
      </c>
      <c r="B183" s="9">
        <v>4</v>
      </c>
      <c r="C183" s="11">
        <v>22000</v>
      </c>
      <c r="D183" s="12"/>
      <c r="E183" s="13">
        <f>B183-D183</f>
        <v>4</v>
      </c>
    </row>
    <row r="184" spans="1:5" x14ac:dyDescent="0.35">
      <c r="A184" s="9" t="s">
        <v>371</v>
      </c>
      <c r="B184" s="9">
        <v>2</v>
      </c>
      <c r="C184" s="11">
        <v>22000</v>
      </c>
      <c r="D184" s="12">
        <v>2</v>
      </c>
      <c r="E184" s="13">
        <f>B184-D184</f>
        <v>0</v>
      </c>
    </row>
    <row r="185" spans="1:5" x14ac:dyDescent="0.35">
      <c r="A185" s="9" t="s">
        <v>373</v>
      </c>
      <c r="B185" s="9">
        <v>2</v>
      </c>
      <c r="C185" s="11">
        <v>12500</v>
      </c>
      <c r="D185" s="12">
        <v>2</v>
      </c>
      <c r="E185" s="13">
        <f>B185-D185</f>
        <v>0</v>
      </c>
    </row>
    <row r="186" spans="1:5" x14ac:dyDescent="0.35">
      <c r="A186" s="9" t="s">
        <v>373</v>
      </c>
      <c r="B186" s="9">
        <v>8</v>
      </c>
      <c r="C186" s="11">
        <v>16000</v>
      </c>
      <c r="D186" s="12"/>
      <c r="E186" s="13">
        <f>B186-D186</f>
        <v>8</v>
      </c>
    </row>
    <row r="187" spans="1:5" x14ac:dyDescent="0.35">
      <c r="A187" s="9" t="s">
        <v>856</v>
      </c>
      <c r="B187" s="9">
        <v>4</v>
      </c>
      <c r="C187" s="11">
        <v>12000</v>
      </c>
      <c r="D187" s="12"/>
      <c r="E187" s="13">
        <f>B187-D187</f>
        <v>4</v>
      </c>
    </row>
    <row r="188" spans="1:5" x14ac:dyDescent="0.35">
      <c r="A188" s="9" t="s">
        <v>375</v>
      </c>
      <c r="B188" s="9">
        <v>1</v>
      </c>
      <c r="C188" s="11">
        <v>15000</v>
      </c>
      <c r="D188" s="12">
        <v>1</v>
      </c>
      <c r="E188" s="13">
        <f>B188-D188</f>
        <v>0</v>
      </c>
    </row>
    <row r="189" spans="1:5" x14ac:dyDescent="0.35">
      <c r="A189" s="9" t="s">
        <v>375</v>
      </c>
      <c r="B189" s="9">
        <v>5</v>
      </c>
      <c r="C189" s="11">
        <v>18000</v>
      </c>
      <c r="D189" s="12"/>
      <c r="E189" s="13">
        <f>B189-D189</f>
        <v>5</v>
      </c>
    </row>
    <row r="190" spans="1:5" x14ac:dyDescent="0.35">
      <c r="A190" s="9" t="s">
        <v>377</v>
      </c>
      <c r="B190" s="21">
        <v>3</v>
      </c>
      <c r="C190" s="11">
        <v>16000</v>
      </c>
      <c r="D190" s="12"/>
      <c r="E190" s="13">
        <f>B190-D190</f>
        <v>3</v>
      </c>
    </row>
    <row r="191" spans="1:5" x14ac:dyDescent="0.35">
      <c r="A191" s="9" t="s">
        <v>378</v>
      </c>
      <c r="B191" s="9">
        <v>9</v>
      </c>
      <c r="C191" s="11">
        <v>12000</v>
      </c>
      <c r="D191" s="12"/>
      <c r="E191" s="13">
        <f>B191-D191</f>
        <v>9</v>
      </c>
    </row>
    <row r="192" spans="1:5" x14ac:dyDescent="0.35">
      <c r="A192" s="10" t="s">
        <v>379</v>
      </c>
      <c r="B192" s="21">
        <v>10</v>
      </c>
      <c r="C192" s="11">
        <v>5000</v>
      </c>
      <c r="D192" s="12"/>
      <c r="E192" s="13">
        <f>B192-D192</f>
        <v>10</v>
      </c>
    </row>
    <row r="193" spans="1:5" x14ac:dyDescent="0.35">
      <c r="A193" s="10" t="s">
        <v>380</v>
      </c>
      <c r="B193" s="9">
        <v>5</v>
      </c>
      <c r="C193" s="11">
        <v>5500</v>
      </c>
      <c r="D193" s="12"/>
      <c r="E193" s="13">
        <f>B193-D193</f>
        <v>5</v>
      </c>
    </row>
    <row r="194" spans="1:5" x14ac:dyDescent="0.35">
      <c r="A194" s="10" t="s">
        <v>381</v>
      </c>
      <c r="B194" s="9">
        <v>5</v>
      </c>
      <c r="C194" s="11">
        <v>5700</v>
      </c>
      <c r="D194" s="12"/>
      <c r="E194" s="13">
        <f>B194-D194</f>
        <v>5</v>
      </c>
    </row>
    <row r="195" spans="1:5" x14ac:dyDescent="0.35">
      <c r="A195" s="10" t="s">
        <v>382</v>
      </c>
      <c r="B195" s="9">
        <v>5</v>
      </c>
      <c r="C195" s="11">
        <v>6000</v>
      </c>
      <c r="D195" s="12"/>
      <c r="E195" s="13">
        <f>B195-D195</f>
        <v>5</v>
      </c>
    </row>
    <row r="196" spans="1:5" x14ac:dyDescent="0.35">
      <c r="A196" s="10" t="s">
        <v>383</v>
      </c>
      <c r="B196" s="21">
        <v>4</v>
      </c>
      <c r="C196" s="11">
        <v>8900</v>
      </c>
      <c r="D196" s="12"/>
      <c r="E196" s="13">
        <f>B196-D196</f>
        <v>4</v>
      </c>
    </row>
    <row r="197" spans="1:5" x14ac:dyDescent="0.35">
      <c r="A197" s="10" t="s">
        <v>384</v>
      </c>
      <c r="B197" s="21">
        <v>4</v>
      </c>
      <c r="C197" s="11">
        <v>9800</v>
      </c>
      <c r="D197" s="12"/>
      <c r="E197" s="13">
        <f>B197-D197</f>
        <v>4</v>
      </c>
    </row>
    <row r="198" spans="1:5" x14ac:dyDescent="0.35">
      <c r="A198" s="10" t="s">
        <v>385</v>
      </c>
      <c r="B198" s="21">
        <v>4</v>
      </c>
      <c r="C198" s="11">
        <v>10000</v>
      </c>
      <c r="D198" s="12"/>
      <c r="E198" s="13">
        <f>B198-D198</f>
        <v>4</v>
      </c>
    </row>
    <row r="199" spans="1:5" x14ac:dyDescent="0.35">
      <c r="A199" s="9" t="s">
        <v>386</v>
      </c>
      <c r="B199" s="9">
        <v>5</v>
      </c>
      <c r="C199" s="11">
        <v>3400</v>
      </c>
      <c r="D199" s="12"/>
      <c r="E199" s="13">
        <f>B199-D199</f>
        <v>5</v>
      </c>
    </row>
    <row r="200" spans="1:5" x14ac:dyDescent="0.35">
      <c r="A200" s="9" t="s">
        <v>387</v>
      </c>
      <c r="B200" s="9">
        <v>1</v>
      </c>
      <c r="C200" s="11">
        <v>3400</v>
      </c>
      <c r="D200" s="12"/>
      <c r="E200" s="13">
        <f>B200-D200</f>
        <v>1</v>
      </c>
    </row>
    <row r="201" spans="1:5" x14ac:dyDescent="0.35">
      <c r="A201" s="9" t="s">
        <v>388</v>
      </c>
      <c r="B201" s="9">
        <v>4</v>
      </c>
      <c r="C201" s="11">
        <v>7800</v>
      </c>
      <c r="D201" s="12"/>
      <c r="E201" s="13">
        <f>B201-D201</f>
        <v>4</v>
      </c>
    </row>
    <row r="202" spans="1:5" x14ac:dyDescent="0.35">
      <c r="A202" s="9" t="s">
        <v>389</v>
      </c>
      <c r="B202" s="9">
        <v>2</v>
      </c>
      <c r="C202" s="11">
        <v>7800</v>
      </c>
      <c r="D202" s="12"/>
      <c r="E202" s="13">
        <f>B202-D202</f>
        <v>2</v>
      </c>
    </row>
    <row r="203" spans="1:5" x14ac:dyDescent="0.35">
      <c r="A203" s="9" t="s">
        <v>390</v>
      </c>
      <c r="B203" s="9">
        <v>2</v>
      </c>
      <c r="C203" s="11">
        <v>7200</v>
      </c>
      <c r="D203" s="12"/>
      <c r="E203" s="13">
        <f>B203-D203</f>
        <v>2</v>
      </c>
    </row>
    <row r="204" spans="1:5" x14ac:dyDescent="0.35">
      <c r="A204" s="9" t="s">
        <v>391</v>
      </c>
      <c r="B204" s="9">
        <v>6</v>
      </c>
      <c r="C204" s="11">
        <v>4000</v>
      </c>
      <c r="D204" s="12"/>
      <c r="E204" s="13">
        <f>B204-D204</f>
        <v>6</v>
      </c>
    </row>
    <row r="205" spans="1:5" x14ac:dyDescent="0.35">
      <c r="A205" s="9" t="s">
        <v>392</v>
      </c>
      <c r="B205" s="9">
        <v>6</v>
      </c>
      <c r="C205" s="11">
        <v>4600</v>
      </c>
      <c r="D205" s="12">
        <v>3</v>
      </c>
      <c r="E205" s="13">
        <f>B205-D205</f>
        <v>3</v>
      </c>
    </row>
    <row r="206" spans="1:5" x14ac:dyDescent="0.35">
      <c r="A206" s="9" t="s">
        <v>393</v>
      </c>
      <c r="B206" s="14">
        <v>9</v>
      </c>
      <c r="C206" s="11">
        <v>12000</v>
      </c>
      <c r="D206" s="12">
        <v>2</v>
      </c>
      <c r="E206" s="13">
        <f>B206-D206</f>
        <v>7</v>
      </c>
    </row>
    <row r="207" spans="1:5" x14ac:dyDescent="0.35">
      <c r="A207" s="9" t="s">
        <v>857</v>
      </c>
      <c r="B207" s="9">
        <v>10</v>
      </c>
      <c r="C207" s="11">
        <v>10000</v>
      </c>
      <c r="D207" s="12"/>
      <c r="E207" s="13">
        <f>B207-D207</f>
        <v>10</v>
      </c>
    </row>
    <row r="208" spans="1:5" x14ac:dyDescent="0.35">
      <c r="A208" s="9" t="s">
        <v>858</v>
      </c>
      <c r="B208" s="21">
        <v>3</v>
      </c>
      <c r="C208" s="11">
        <v>35000</v>
      </c>
      <c r="D208" s="12"/>
      <c r="E208" s="13">
        <f>B208-D208</f>
        <v>3</v>
      </c>
    </row>
    <row r="209" spans="1:5" x14ac:dyDescent="0.35">
      <c r="A209" s="9" t="s">
        <v>394</v>
      </c>
      <c r="B209" s="14">
        <v>8</v>
      </c>
      <c r="C209" s="11">
        <v>30000</v>
      </c>
      <c r="D209" s="12">
        <v>3</v>
      </c>
      <c r="E209" s="13">
        <f>B209-D209</f>
        <v>5</v>
      </c>
    </row>
    <row r="210" spans="1:5" x14ac:dyDescent="0.35">
      <c r="A210" s="9" t="s">
        <v>394</v>
      </c>
      <c r="B210" s="14">
        <v>3</v>
      </c>
      <c r="C210" s="11">
        <v>17000</v>
      </c>
      <c r="D210" s="12">
        <v>3</v>
      </c>
      <c r="E210" s="13">
        <f>B210-D210</f>
        <v>0</v>
      </c>
    </row>
    <row r="211" spans="1:5" x14ac:dyDescent="0.35">
      <c r="A211" s="9" t="s">
        <v>396</v>
      </c>
      <c r="B211" s="14">
        <v>2</v>
      </c>
      <c r="C211" s="11">
        <v>14200</v>
      </c>
      <c r="D211" s="12">
        <v>1</v>
      </c>
      <c r="E211" s="13">
        <f>B211-D211</f>
        <v>1</v>
      </c>
    </row>
    <row r="212" spans="1:5" x14ac:dyDescent="0.35">
      <c r="A212" s="9" t="s">
        <v>397</v>
      </c>
      <c r="B212" s="9">
        <v>1</v>
      </c>
      <c r="C212" s="11">
        <v>21000</v>
      </c>
      <c r="D212" s="12">
        <v>1</v>
      </c>
      <c r="E212" s="13">
        <f>B212-D212</f>
        <v>0</v>
      </c>
    </row>
    <row r="213" spans="1:5" x14ac:dyDescent="0.35">
      <c r="A213" s="9" t="s">
        <v>397</v>
      </c>
      <c r="B213" s="9">
        <v>2</v>
      </c>
      <c r="C213" s="11">
        <v>24000</v>
      </c>
      <c r="D213" s="12">
        <v>2</v>
      </c>
      <c r="E213" s="13">
        <f>B213-D213</f>
        <v>0</v>
      </c>
    </row>
    <row r="214" spans="1:5" x14ac:dyDescent="0.35">
      <c r="A214" s="9" t="s">
        <v>397</v>
      </c>
      <c r="B214" s="9">
        <v>4</v>
      </c>
      <c r="C214" s="11">
        <v>26000</v>
      </c>
      <c r="D214" s="12">
        <v>1</v>
      </c>
      <c r="E214" s="13">
        <f>B214-D214</f>
        <v>3</v>
      </c>
    </row>
    <row r="215" spans="1:5" x14ac:dyDescent="0.35">
      <c r="A215" s="9" t="s">
        <v>399</v>
      </c>
      <c r="B215" s="9">
        <v>6</v>
      </c>
      <c r="C215" s="11">
        <v>25000</v>
      </c>
      <c r="D215" s="12">
        <v>1</v>
      </c>
      <c r="E215" s="13">
        <f>B215-D215</f>
        <v>5</v>
      </c>
    </row>
    <row r="216" spans="1:5" x14ac:dyDescent="0.35">
      <c r="A216" s="9" t="s">
        <v>399</v>
      </c>
      <c r="B216" s="9">
        <v>6</v>
      </c>
      <c r="C216" s="11">
        <v>23000</v>
      </c>
      <c r="D216" s="12">
        <v>3</v>
      </c>
      <c r="E216" s="13">
        <f>B216-D216</f>
        <v>3</v>
      </c>
    </row>
    <row r="217" spans="1:5" x14ac:dyDescent="0.35">
      <c r="A217" s="9" t="s">
        <v>401</v>
      </c>
      <c r="B217" s="9">
        <v>9</v>
      </c>
      <c r="C217" s="11">
        <v>28000</v>
      </c>
      <c r="D217" s="12">
        <v>1</v>
      </c>
      <c r="E217" s="13">
        <f>B217-D217</f>
        <v>8</v>
      </c>
    </row>
    <row r="218" spans="1:5" x14ac:dyDescent="0.35">
      <c r="A218" s="9" t="s">
        <v>402</v>
      </c>
      <c r="B218" s="16">
        <v>2</v>
      </c>
      <c r="C218" s="11">
        <v>30164.399999999998</v>
      </c>
      <c r="D218" s="12">
        <v>2</v>
      </c>
      <c r="E218" s="13">
        <f>B218-D218</f>
        <v>0</v>
      </c>
    </row>
    <row r="219" spans="1:5" x14ac:dyDescent="0.35">
      <c r="A219" s="9" t="s">
        <v>404</v>
      </c>
      <c r="B219" s="16">
        <v>2</v>
      </c>
      <c r="C219" s="11">
        <v>30164.399999999998</v>
      </c>
      <c r="D219" s="12">
        <v>2</v>
      </c>
      <c r="E219" s="13">
        <f>B219-D219</f>
        <v>0</v>
      </c>
    </row>
    <row r="220" spans="1:5" x14ac:dyDescent="0.35">
      <c r="A220" s="9" t="s">
        <v>406</v>
      </c>
      <c r="B220" s="16">
        <v>2</v>
      </c>
      <c r="C220" s="11">
        <v>30164.399999999998</v>
      </c>
      <c r="D220" s="12">
        <v>2</v>
      </c>
      <c r="E220" s="13">
        <f>B220-D220</f>
        <v>0</v>
      </c>
    </row>
    <row r="221" spans="1:5" x14ac:dyDescent="0.35">
      <c r="A221" s="9" t="s">
        <v>408</v>
      </c>
      <c r="B221" s="16">
        <v>2</v>
      </c>
      <c r="C221" s="11">
        <v>30164.399999999998</v>
      </c>
      <c r="D221" s="12">
        <v>2</v>
      </c>
      <c r="E221" s="13">
        <f>B221-D221</f>
        <v>0</v>
      </c>
    </row>
    <row r="222" spans="1:5" x14ac:dyDescent="0.35">
      <c r="A222" s="9" t="s">
        <v>410</v>
      </c>
      <c r="B222" s="16">
        <v>2</v>
      </c>
      <c r="C222" s="11">
        <v>30164.399999999998</v>
      </c>
      <c r="D222" s="12">
        <v>2</v>
      </c>
      <c r="E222" s="13">
        <f>B222-D222</f>
        <v>0</v>
      </c>
    </row>
    <row r="223" spans="1:5" x14ac:dyDescent="0.35">
      <c r="A223" s="18" t="s">
        <v>412</v>
      </c>
      <c r="B223" s="16">
        <v>2</v>
      </c>
      <c r="C223" s="11">
        <v>30164.399999999998</v>
      </c>
      <c r="D223" s="12">
        <v>2</v>
      </c>
      <c r="E223" s="13">
        <f>B223-D223</f>
        <v>0</v>
      </c>
    </row>
    <row r="224" spans="1:5" x14ac:dyDescent="0.35">
      <c r="A224" s="9" t="s">
        <v>414</v>
      </c>
      <c r="B224" s="16">
        <v>4</v>
      </c>
      <c r="C224" s="11">
        <v>24418.799999999999</v>
      </c>
      <c r="D224" s="12">
        <v>4</v>
      </c>
      <c r="E224" s="13">
        <f>B224-D224</f>
        <v>0</v>
      </c>
    </row>
    <row r="225" spans="1:5" x14ac:dyDescent="0.35">
      <c r="A225" s="9" t="s">
        <v>416</v>
      </c>
      <c r="B225" s="9">
        <v>8</v>
      </c>
      <c r="C225" s="11">
        <v>35000</v>
      </c>
      <c r="D225" s="12"/>
      <c r="E225" s="13">
        <f>B225-D225</f>
        <v>8</v>
      </c>
    </row>
    <row r="226" spans="1:5" x14ac:dyDescent="0.35">
      <c r="A226" s="9" t="s">
        <v>417</v>
      </c>
      <c r="B226" s="16">
        <v>5</v>
      </c>
      <c r="C226" s="11">
        <v>8063.1</v>
      </c>
      <c r="D226" s="12">
        <v>2</v>
      </c>
      <c r="E226" s="13">
        <f>B226-D226</f>
        <v>3</v>
      </c>
    </row>
    <row r="227" spans="1:5" x14ac:dyDescent="0.35">
      <c r="A227" s="9" t="s">
        <v>859</v>
      </c>
      <c r="B227" s="21">
        <v>2</v>
      </c>
      <c r="C227" s="11">
        <v>98600</v>
      </c>
      <c r="D227" s="12"/>
      <c r="E227" s="13">
        <f>B227-D227</f>
        <v>2</v>
      </c>
    </row>
    <row r="228" spans="1:5" x14ac:dyDescent="0.35">
      <c r="A228" s="10" t="s">
        <v>418</v>
      </c>
      <c r="B228" s="21">
        <v>6</v>
      </c>
      <c r="C228" s="11">
        <v>40000</v>
      </c>
      <c r="D228" s="12">
        <v>3</v>
      </c>
      <c r="E228" s="13">
        <f>B228-D228</f>
        <v>3</v>
      </c>
    </row>
    <row r="229" spans="1:5" x14ac:dyDescent="0.35">
      <c r="A229" s="9" t="s">
        <v>419</v>
      </c>
      <c r="B229" s="9">
        <v>4</v>
      </c>
      <c r="C229" s="15">
        <v>30000</v>
      </c>
      <c r="D229" s="12">
        <v>3</v>
      </c>
      <c r="E229" s="13">
        <f>B229-D229</f>
        <v>1</v>
      </c>
    </row>
    <row r="230" spans="1:5" x14ac:dyDescent="0.35">
      <c r="A230" s="10" t="s">
        <v>420</v>
      </c>
      <c r="B230" s="9">
        <v>4</v>
      </c>
      <c r="C230" s="11">
        <v>39000</v>
      </c>
      <c r="D230" s="12">
        <v>2</v>
      </c>
      <c r="E230" s="13">
        <f>B230-D230</f>
        <v>2</v>
      </c>
    </row>
    <row r="231" spans="1:5" x14ac:dyDescent="0.35">
      <c r="A231" s="10" t="s">
        <v>421</v>
      </c>
      <c r="B231" s="21">
        <v>17</v>
      </c>
      <c r="C231" s="11">
        <v>30000</v>
      </c>
      <c r="D231" s="12">
        <v>3</v>
      </c>
      <c r="E231" s="13">
        <f>B231-D231</f>
        <v>14</v>
      </c>
    </row>
    <row r="232" spans="1:5" x14ac:dyDescent="0.35">
      <c r="A232" s="9" t="s">
        <v>422</v>
      </c>
      <c r="B232" s="9">
        <v>5</v>
      </c>
      <c r="C232" s="11">
        <v>40000</v>
      </c>
      <c r="D232" s="12"/>
      <c r="E232" s="13">
        <f>B232-D232</f>
        <v>5</v>
      </c>
    </row>
    <row r="233" spans="1:5" x14ac:dyDescent="0.35">
      <c r="A233" s="9" t="s">
        <v>423</v>
      </c>
      <c r="B233" s="9">
        <v>6</v>
      </c>
      <c r="C233" s="11">
        <v>15000</v>
      </c>
      <c r="D233" s="12"/>
      <c r="E233" s="13">
        <f>B233-D233</f>
        <v>6</v>
      </c>
    </row>
    <row r="234" spans="1:5" x14ac:dyDescent="0.35">
      <c r="A234" s="9" t="s">
        <v>424</v>
      </c>
      <c r="B234" s="14">
        <v>10</v>
      </c>
      <c r="C234" s="11">
        <v>10700</v>
      </c>
      <c r="D234" s="12">
        <v>1</v>
      </c>
      <c r="E234" s="13">
        <f>B234-D234</f>
        <v>9</v>
      </c>
    </row>
    <row r="235" spans="1:5" x14ac:dyDescent="0.35">
      <c r="A235" s="9" t="s">
        <v>425</v>
      </c>
      <c r="B235" s="14">
        <v>11</v>
      </c>
      <c r="C235" s="11">
        <v>3200</v>
      </c>
      <c r="D235" s="12"/>
      <c r="E235" s="13">
        <f>B235-D235</f>
        <v>11</v>
      </c>
    </row>
    <row r="236" spans="1:5" x14ac:dyDescent="0.35">
      <c r="A236" s="9" t="s">
        <v>426</v>
      </c>
      <c r="B236" s="9">
        <v>2</v>
      </c>
      <c r="C236" s="11">
        <v>3840</v>
      </c>
      <c r="D236" s="12">
        <v>1</v>
      </c>
      <c r="E236" s="13">
        <f>B236-D236</f>
        <v>1</v>
      </c>
    </row>
    <row r="237" spans="1:5" x14ac:dyDescent="0.35">
      <c r="A237" s="44" t="s">
        <v>427</v>
      </c>
      <c r="B237" s="9">
        <v>3</v>
      </c>
      <c r="C237" s="11">
        <v>4560</v>
      </c>
      <c r="D237" s="12"/>
      <c r="E237" s="13">
        <f>B237-D237</f>
        <v>3</v>
      </c>
    </row>
    <row r="238" spans="1:5" x14ac:dyDescent="0.35">
      <c r="A238" s="9" t="s">
        <v>428</v>
      </c>
      <c r="B238" s="9">
        <v>3</v>
      </c>
      <c r="C238" s="11">
        <v>3120</v>
      </c>
      <c r="D238" s="12">
        <v>1</v>
      </c>
      <c r="E238" s="13">
        <f>B238-D238</f>
        <v>2</v>
      </c>
    </row>
    <row r="239" spans="1:5" x14ac:dyDescent="0.35">
      <c r="A239" s="9" t="s">
        <v>429</v>
      </c>
      <c r="B239" s="9">
        <v>3</v>
      </c>
      <c r="C239" s="11">
        <v>2880</v>
      </c>
      <c r="D239" s="12">
        <v>2</v>
      </c>
      <c r="E239" s="13">
        <f>B239-D239</f>
        <v>1</v>
      </c>
    </row>
    <row r="240" spans="1:5" x14ac:dyDescent="0.35">
      <c r="A240" s="9" t="s">
        <v>430</v>
      </c>
      <c r="B240" s="9">
        <v>8</v>
      </c>
      <c r="C240" s="11">
        <v>9600</v>
      </c>
      <c r="D240" s="12"/>
      <c r="E240" s="13">
        <f>B240-D240</f>
        <v>8</v>
      </c>
    </row>
    <row r="241" spans="1:5" x14ac:dyDescent="0.35">
      <c r="A241" s="9" t="s">
        <v>430</v>
      </c>
      <c r="B241" s="9">
        <v>2</v>
      </c>
      <c r="C241" s="11">
        <v>8400</v>
      </c>
      <c r="D241" s="12">
        <v>2</v>
      </c>
      <c r="E241" s="13">
        <f>B241-D241</f>
        <v>0</v>
      </c>
    </row>
    <row r="242" spans="1:5" x14ac:dyDescent="0.35">
      <c r="A242" s="9" t="s">
        <v>432</v>
      </c>
      <c r="B242" s="9">
        <v>2</v>
      </c>
      <c r="C242" s="11">
        <v>9600</v>
      </c>
      <c r="D242" s="12"/>
      <c r="E242" s="13">
        <f>B242-D242</f>
        <v>2</v>
      </c>
    </row>
    <row r="243" spans="1:5" x14ac:dyDescent="0.35">
      <c r="A243" s="9" t="s">
        <v>433</v>
      </c>
      <c r="B243" s="9">
        <v>2</v>
      </c>
      <c r="C243" s="11">
        <v>11040</v>
      </c>
      <c r="D243" s="12"/>
      <c r="E243" s="13">
        <f>B243-D243</f>
        <v>2</v>
      </c>
    </row>
    <row r="244" spans="1:5" x14ac:dyDescent="0.35">
      <c r="A244" s="9" t="s">
        <v>434</v>
      </c>
      <c r="B244" s="9">
        <v>2</v>
      </c>
      <c r="C244" s="11">
        <v>12960</v>
      </c>
      <c r="D244" s="12"/>
      <c r="E244" s="13">
        <f>B244-D244</f>
        <v>2</v>
      </c>
    </row>
    <row r="245" spans="1:5" x14ac:dyDescent="0.35">
      <c r="A245" s="9" t="s">
        <v>435</v>
      </c>
      <c r="B245" s="9">
        <v>2</v>
      </c>
      <c r="C245" s="11">
        <v>3360</v>
      </c>
      <c r="D245" s="12"/>
      <c r="E245" s="13">
        <f>B245-D245</f>
        <v>2</v>
      </c>
    </row>
    <row r="246" spans="1:5" x14ac:dyDescent="0.35">
      <c r="A246" s="9" t="s">
        <v>436</v>
      </c>
      <c r="B246" s="9">
        <v>2</v>
      </c>
      <c r="C246" s="11">
        <v>3600</v>
      </c>
      <c r="D246" s="12"/>
      <c r="E246" s="13">
        <f>B246-D246</f>
        <v>2</v>
      </c>
    </row>
    <row r="247" spans="1:5" x14ac:dyDescent="0.35">
      <c r="A247" s="9" t="s">
        <v>437</v>
      </c>
      <c r="B247" s="9">
        <v>5</v>
      </c>
      <c r="C247" s="11">
        <v>2175</v>
      </c>
      <c r="D247" s="12">
        <v>2</v>
      </c>
      <c r="E247" s="13">
        <f>B247-D247</f>
        <v>3</v>
      </c>
    </row>
    <row r="248" spans="1:5" x14ac:dyDescent="0.35">
      <c r="A248" s="9" t="s">
        <v>438</v>
      </c>
      <c r="B248" s="9">
        <v>13</v>
      </c>
      <c r="C248" s="11">
        <v>2320</v>
      </c>
      <c r="D248" s="12">
        <v>1</v>
      </c>
      <c r="E248" s="13">
        <f>B248-D248</f>
        <v>12</v>
      </c>
    </row>
    <row r="249" spans="1:5" x14ac:dyDescent="0.35">
      <c r="A249" s="9" t="s">
        <v>439</v>
      </c>
      <c r="B249" s="14">
        <v>10</v>
      </c>
      <c r="C249" s="11">
        <v>3500</v>
      </c>
      <c r="D249" s="12"/>
      <c r="E249" s="13">
        <f>B249-D249</f>
        <v>10</v>
      </c>
    </row>
    <row r="250" spans="1:5" x14ac:dyDescent="0.35">
      <c r="A250" s="9" t="s">
        <v>440</v>
      </c>
      <c r="B250" s="14">
        <v>10</v>
      </c>
      <c r="C250" s="11">
        <v>4900</v>
      </c>
      <c r="D250" s="12">
        <v>2</v>
      </c>
      <c r="E250" s="13">
        <f>B250-D250</f>
        <v>8</v>
      </c>
    </row>
    <row r="251" spans="1:5" x14ac:dyDescent="0.35">
      <c r="A251" s="9" t="s">
        <v>441</v>
      </c>
      <c r="B251" s="9">
        <v>3</v>
      </c>
      <c r="C251" s="11">
        <v>6000</v>
      </c>
      <c r="D251" s="12">
        <v>1</v>
      </c>
      <c r="E251" s="13">
        <f>B251-D251</f>
        <v>2</v>
      </c>
    </row>
    <row r="252" spans="1:5" x14ac:dyDescent="0.35">
      <c r="A252" s="9" t="s">
        <v>442</v>
      </c>
      <c r="B252" s="14">
        <v>20</v>
      </c>
      <c r="C252" s="11">
        <v>3000</v>
      </c>
      <c r="D252" s="12">
        <v>6</v>
      </c>
      <c r="E252" s="13">
        <f>B252-D252</f>
        <v>14</v>
      </c>
    </row>
    <row r="253" spans="1:5" x14ac:dyDescent="0.35">
      <c r="A253" s="9" t="s">
        <v>443</v>
      </c>
      <c r="B253" s="14">
        <v>20</v>
      </c>
      <c r="C253" s="45">
        <v>10500</v>
      </c>
      <c r="D253" s="12">
        <v>2</v>
      </c>
      <c r="E253" s="13">
        <f>B253-D253</f>
        <v>18</v>
      </c>
    </row>
    <row r="254" spans="1:5" x14ac:dyDescent="0.35">
      <c r="A254" s="9" t="s">
        <v>444</v>
      </c>
      <c r="B254" s="9">
        <v>10</v>
      </c>
      <c r="C254" s="45">
        <v>12000</v>
      </c>
      <c r="D254" s="12">
        <v>1</v>
      </c>
      <c r="E254" s="13">
        <f>B254-D254</f>
        <v>9</v>
      </c>
    </row>
    <row r="255" spans="1:5" x14ac:dyDescent="0.35">
      <c r="A255" s="9" t="s">
        <v>445</v>
      </c>
      <c r="B255" s="9">
        <v>10</v>
      </c>
      <c r="C255" s="11">
        <v>13000</v>
      </c>
      <c r="D255" s="12">
        <v>3</v>
      </c>
      <c r="E255" s="13">
        <f>B255-D255</f>
        <v>7</v>
      </c>
    </row>
    <row r="256" spans="1:5" x14ac:dyDescent="0.35">
      <c r="A256" s="9" t="s">
        <v>446</v>
      </c>
      <c r="B256" s="9">
        <v>6</v>
      </c>
      <c r="C256" s="11">
        <v>2640</v>
      </c>
      <c r="D256" s="12">
        <v>5</v>
      </c>
      <c r="E256" s="13">
        <f>B256-D256</f>
        <v>1</v>
      </c>
    </row>
    <row r="257" spans="1:5" x14ac:dyDescent="0.35">
      <c r="A257" s="9" t="s">
        <v>447</v>
      </c>
      <c r="B257" s="9">
        <v>3</v>
      </c>
      <c r="C257" s="11">
        <v>3120</v>
      </c>
      <c r="D257" s="12">
        <v>1</v>
      </c>
      <c r="E257" s="13">
        <f>B257-D257</f>
        <v>2</v>
      </c>
    </row>
    <row r="258" spans="1:5" x14ac:dyDescent="0.35">
      <c r="A258" s="9" t="s">
        <v>448</v>
      </c>
      <c r="B258" s="14">
        <v>40</v>
      </c>
      <c r="C258" s="11">
        <v>4000</v>
      </c>
      <c r="D258" s="12"/>
      <c r="E258" s="13">
        <f>B258-D258</f>
        <v>40</v>
      </c>
    </row>
    <row r="259" spans="1:5" x14ac:dyDescent="0.35">
      <c r="A259" s="9" t="s">
        <v>449</v>
      </c>
      <c r="B259" s="14">
        <v>20</v>
      </c>
      <c r="C259" s="11">
        <v>4600</v>
      </c>
      <c r="D259" s="12"/>
      <c r="E259" s="13">
        <f>B259-D259</f>
        <v>20</v>
      </c>
    </row>
    <row r="260" spans="1:5" x14ac:dyDescent="0.35">
      <c r="A260" s="9" t="s">
        <v>860</v>
      </c>
      <c r="B260" s="14">
        <v>10</v>
      </c>
      <c r="C260" s="11">
        <v>4600</v>
      </c>
      <c r="D260" s="12"/>
      <c r="E260" s="13">
        <f>B260-D260</f>
        <v>10</v>
      </c>
    </row>
    <row r="261" spans="1:5" x14ac:dyDescent="0.35">
      <c r="A261" s="9" t="s">
        <v>450</v>
      </c>
      <c r="B261" s="9">
        <v>3</v>
      </c>
      <c r="C261" s="11">
        <v>6960</v>
      </c>
      <c r="D261" s="12"/>
      <c r="E261" s="13">
        <f>B261-D261</f>
        <v>3</v>
      </c>
    </row>
    <row r="262" spans="1:5" x14ac:dyDescent="0.35">
      <c r="A262" s="9" t="s">
        <v>451</v>
      </c>
      <c r="B262" s="9">
        <v>3</v>
      </c>
      <c r="C262" s="11">
        <v>8160</v>
      </c>
      <c r="D262" s="12"/>
      <c r="E262" s="13">
        <f>B262-D262</f>
        <v>3</v>
      </c>
    </row>
    <row r="263" spans="1:5" x14ac:dyDescent="0.35">
      <c r="A263" s="9" t="s">
        <v>452</v>
      </c>
      <c r="B263" s="9">
        <v>5</v>
      </c>
      <c r="C263" s="11">
        <v>6480</v>
      </c>
      <c r="D263" s="12">
        <v>3</v>
      </c>
      <c r="E263" s="13">
        <f>B263-D263</f>
        <v>2</v>
      </c>
    </row>
    <row r="264" spans="1:5" x14ac:dyDescent="0.35">
      <c r="A264" s="9" t="s">
        <v>453</v>
      </c>
      <c r="B264" s="9">
        <v>5</v>
      </c>
      <c r="C264" s="11">
        <v>7920</v>
      </c>
      <c r="D264" s="12"/>
      <c r="E264" s="13">
        <f>B264-D264</f>
        <v>5</v>
      </c>
    </row>
    <row r="265" spans="1:5" x14ac:dyDescent="0.35">
      <c r="A265" s="9" t="s">
        <v>454</v>
      </c>
      <c r="B265" s="9">
        <v>5</v>
      </c>
      <c r="C265" s="11">
        <v>8400</v>
      </c>
      <c r="D265" s="12"/>
      <c r="E265" s="13">
        <f>B265-D265</f>
        <v>5</v>
      </c>
    </row>
    <row r="266" spans="1:5" x14ac:dyDescent="0.35">
      <c r="A266" s="9" t="s">
        <v>455</v>
      </c>
      <c r="B266" s="9">
        <v>5</v>
      </c>
      <c r="C266" s="11">
        <v>15600</v>
      </c>
      <c r="D266" s="12">
        <v>2</v>
      </c>
      <c r="E266" s="13">
        <f>B266-D266</f>
        <v>3</v>
      </c>
    </row>
    <row r="267" spans="1:5" x14ac:dyDescent="0.35">
      <c r="A267" s="9" t="s">
        <v>456</v>
      </c>
      <c r="B267" s="9">
        <v>3</v>
      </c>
      <c r="C267" s="11">
        <v>6720</v>
      </c>
      <c r="D267" s="12">
        <v>2</v>
      </c>
      <c r="E267" s="13">
        <f>B267-D267</f>
        <v>1</v>
      </c>
    </row>
    <row r="268" spans="1:5" x14ac:dyDescent="0.35">
      <c r="A268" s="9" t="s">
        <v>457</v>
      </c>
      <c r="B268" s="9">
        <v>3</v>
      </c>
      <c r="C268" s="11">
        <v>13200</v>
      </c>
      <c r="D268" s="12">
        <v>1</v>
      </c>
      <c r="E268" s="13">
        <f>B268-D268</f>
        <v>2</v>
      </c>
    </row>
    <row r="269" spans="1:5" x14ac:dyDescent="0.35">
      <c r="A269" s="9" t="s">
        <v>458</v>
      </c>
      <c r="B269" s="9">
        <v>4</v>
      </c>
      <c r="C269" s="11">
        <v>6000</v>
      </c>
      <c r="D269" s="12">
        <v>3</v>
      </c>
      <c r="E269" s="13">
        <f>B269-D269</f>
        <v>1</v>
      </c>
    </row>
    <row r="270" spans="1:5" x14ac:dyDescent="0.35">
      <c r="A270" s="9" t="s">
        <v>459</v>
      </c>
      <c r="B270" s="9">
        <v>8</v>
      </c>
      <c r="C270" s="11">
        <v>6500</v>
      </c>
      <c r="D270" s="12">
        <v>1</v>
      </c>
      <c r="E270" s="13">
        <f>B270-D270</f>
        <v>7</v>
      </c>
    </row>
    <row r="271" spans="1:5" x14ac:dyDescent="0.35">
      <c r="A271" s="9" t="s">
        <v>460</v>
      </c>
      <c r="B271" s="9">
        <v>5</v>
      </c>
      <c r="C271" s="11">
        <v>6900</v>
      </c>
      <c r="D271" s="12"/>
      <c r="E271" s="13">
        <f>B271-D271</f>
        <v>5</v>
      </c>
    </row>
    <row r="272" spans="1:5" x14ac:dyDescent="0.35">
      <c r="A272" s="9" t="s">
        <v>461</v>
      </c>
      <c r="B272" s="9">
        <v>10</v>
      </c>
      <c r="C272" s="11">
        <v>14000</v>
      </c>
      <c r="D272" s="12">
        <v>1</v>
      </c>
      <c r="E272" s="13">
        <f>B272-D272</f>
        <v>9</v>
      </c>
    </row>
    <row r="273" spans="1:5" x14ac:dyDescent="0.35">
      <c r="A273" s="9" t="s">
        <v>462</v>
      </c>
      <c r="B273" s="21">
        <v>12</v>
      </c>
      <c r="C273" s="11">
        <v>5000</v>
      </c>
      <c r="D273" s="12">
        <v>3</v>
      </c>
      <c r="E273" s="13">
        <f>B273-D273</f>
        <v>9</v>
      </c>
    </row>
    <row r="274" spans="1:5" x14ac:dyDescent="0.35">
      <c r="A274" s="9" t="s">
        <v>463</v>
      </c>
      <c r="B274" s="21">
        <v>5</v>
      </c>
      <c r="C274" s="11">
        <v>6200</v>
      </c>
      <c r="D274" s="12"/>
      <c r="E274" s="13">
        <f>B274-D274</f>
        <v>5</v>
      </c>
    </row>
    <row r="275" spans="1:5" ht="43.5" x14ac:dyDescent="0.35">
      <c r="A275" s="10" t="s">
        <v>464</v>
      </c>
      <c r="B275" s="16">
        <v>1</v>
      </c>
      <c r="C275" s="11">
        <v>42000</v>
      </c>
      <c r="D275" s="12">
        <v>1</v>
      </c>
      <c r="E275" s="13">
        <f>B275-D275</f>
        <v>0</v>
      </c>
    </row>
    <row r="276" spans="1:5" x14ac:dyDescent="0.35">
      <c r="A276" s="9" t="s">
        <v>466</v>
      </c>
      <c r="B276" s="16">
        <v>2</v>
      </c>
      <c r="C276" s="11">
        <v>22070.02</v>
      </c>
      <c r="D276" s="12">
        <v>2</v>
      </c>
      <c r="E276" s="13">
        <f>B276-D276</f>
        <v>0</v>
      </c>
    </row>
    <row r="277" spans="1:5" x14ac:dyDescent="0.35">
      <c r="A277" s="9" t="s">
        <v>468</v>
      </c>
      <c r="B277" s="9">
        <v>3</v>
      </c>
      <c r="C277" s="11">
        <v>170000</v>
      </c>
      <c r="D277" s="12">
        <v>1</v>
      </c>
      <c r="E277" s="13">
        <f>B277-D277</f>
        <v>2</v>
      </c>
    </row>
    <row r="278" spans="1:5" x14ac:dyDescent="0.35">
      <c r="A278" s="9" t="s">
        <v>861</v>
      </c>
      <c r="B278" s="9">
        <v>2</v>
      </c>
      <c r="C278" s="11">
        <v>180000</v>
      </c>
      <c r="D278" s="12"/>
      <c r="E278" s="13">
        <f>B278-D278</f>
        <v>2</v>
      </c>
    </row>
    <row r="279" spans="1:5" x14ac:dyDescent="0.35">
      <c r="A279" s="9" t="s">
        <v>469</v>
      </c>
      <c r="B279" s="21">
        <v>3</v>
      </c>
      <c r="C279" s="11">
        <v>130000</v>
      </c>
      <c r="D279" s="12">
        <v>1</v>
      </c>
      <c r="E279" s="13">
        <f>B279-D279</f>
        <v>2</v>
      </c>
    </row>
    <row r="280" spans="1:5" x14ac:dyDescent="0.35">
      <c r="A280" s="9" t="s">
        <v>862</v>
      </c>
      <c r="B280" s="9">
        <v>3</v>
      </c>
      <c r="C280" s="11">
        <v>120000</v>
      </c>
      <c r="D280" s="12"/>
      <c r="E280" s="13">
        <f>B280-D280</f>
        <v>3</v>
      </c>
    </row>
    <row r="281" spans="1:5" x14ac:dyDescent="0.35">
      <c r="A281" s="9" t="s">
        <v>470</v>
      </c>
      <c r="B281" s="14">
        <v>3</v>
      </c>
      <c r="C281" s="11">
        <v>24000</v>
      </c>
      <c r="D281" s="12">
        <v>3</v>
      </c>
      <c r="E281" s="13">
        <f>B281-D281</f>
        <v>0</v>
      </c>
    </row>
    <row r="282" spans="1:5" x14ac:dyDescent="0.35">
      <c r="A282" s="9" t="s">
        <v>863</v>
      </c>
      <c r="B282" s="21">
        <v>2</v>
      </c>
      <c r="C282" s="11">
        <v>30000</v>
      </c>
      <c r="D282" s="12"/>
      <c r="E282" s="13">
        <f>B282-D282</f>
        <v>2</v>
      </c>
    </row>
    <row r="283" spans="1:5" x14ac:dyDescent="0.35">
      <c r="A283" s="9" t="s">
        <v>472</v>
      </c>
      <c r="B283" s="14">
        <v>2</v>
      </c>
      <c r="C283" s="11">
        <v>22000</v>
      </c>
      <c r="D283" s="12">
        <v>2</v>
      </c>
      <c r="E283" s="13">
        <f>B283-D283</f>
        <v>0</v>
      </c>
    </row>
    <row r="284" spans="1:5" x14ac:dyDescent="0.35">
      <c r="A284" s="9" t="s">
        <v>474</v>
      </c>
      <c r="B284" s="14">
        <v>2</v>
      </c>
      <c r="C284" s="11">
        <v>22000</v>
      </c>
      <c r="D284" s="12"/>
      <c r="E284" s="13">
        <f>B284-D284</f>
        <v>2</v>
      </c>
    </row>
    <row r="285" spans="1:5" x14ac:dyDescent="0.35">
      <c r="A285" s="9" t="s">
        <v>475</v>
      </c>
      <c r="B285" s="14">
        <v>2</v>
      </c>
      <c r="C285" s="11">
        <v>35000</v>
      </c>
      <c r="D285" s="12">
        <v>1</v>
      </c>
      <c r="E285" s="13">
        <f>B285-D285</f>
        <v>1</v>
      </c>
    </row>
    <row r="286" spans="1:5" x14ac:dyDescent="0.35">
      <c r="A286" s="9" t="s">
        <v>476</v>
      </c>
      <c r="B286" s="14">
        <v>2</v>
      </c>
      <c r="C286" s="11">
        <v>34500</v>
      </c>
      <c r="D286" s="12"/>
      <c r="E286" s="13">
        <f>B286-D286</f>
        <v>2</v>
      </c>
    </row>
    <row r="287" spans="1:5" x14ac:dyDescent="0.35">
      <c r="A287" s="9" t="s">
        <v>477</v>
      </c>
      <c r="B287" s="14">
        <v>2</v>
      </c>
      <c r="C287" s="11">
        <v>34800</v>
      </c>
      <c r="D287" s="12">
        <v>1</v>
      </c>
      <c r="E287" s="13">
        <f>B287-D287</f>
        <v>1</v>
      </c>
    </row>
    <row r="288" spans="1:5" x14ac:dyDescent="0.35">
      <c r="A288" s="9" t="s">
        <v>478</v>
      </c>
      <c r="B288" s="9">
        <v>1</v>
      </c>
      <c r="C288" s="11">
        <v>30000</v>
      </c>
      <c r="D288" s="12"/>
      <c r="E288" s="13">
        <f>B288-D288</f>
        <v>1</v>
      </c>
    </row>
    <row r="289" spans="1:5" x14ac:dyDescent="0.35">
      <c r="A289" s="9" t="s">
        <v>479</v>
      </c>
      <c r="B289" s="9">
        <v>1</v>
      </c>
      <c r="C289" s="11">
        <v>32800</v>
      </c>
      <c r="D289" s="12"/>
      <c r="E289" s="13">
        <f>B289-D289</f>
        <v>1</v>
      </c>
    </row>
    <row r="290" spans="1:5" x14ac:dyDescent="0.35">
      <c r="A290" s="9" t="s">
        <v>480</v>
      </c>
      <c r="B290" s="14">
        <v>3</v>
      </c>
      <c r="C290" s="11">
        <v>8840</v>
      </c>
      <c r="D290" s="12">
        <v>2</v>
      </c>
      <c r="E290" s="13">
        <f>B290-D290</f>
        <v>1</v>
      </c>
    </row>
    <row r="291" spans="1:5" x14ac:dyDescent="0.35">
      <c r="A291" s="9" t="s">
        <v>481</v>
      </c>
      <c r="B291" s="14">
        <v>2</v>
      </c>
      <c r="C291" s="11">
        <v>59200</v>
      </c>
      <c r="D291" s="12">
        <v>2</v>
      </c>
      <c r="E291" s="13">
        <f>B291-D291</f>
        <v>0</v>
      </c>
    </row>
    <row r="292" spans="1:5" x14ac:dyDescent="0.35">
      <c r="A292" s="9" t="s">
        <v>483</v>
      </c>
      <c r="B292" s="14">
        <v>4</v>
      </c>
      <c r="C292" s="11">
        <v>39270</v>
      </c>
      <c r="D292" s="12">
        <v>1</v>
      </c>
      <c r="E292" s="13">
        <f>B292-D292</f>
        <v>3</v>
      </c>
    </row>
    <row r="293" spans="1:5" x14ac:dyDescent="0.35">
      <c r="A293" s="9" t="s">
        <v>484</v>
      </c>
      <c r="B293" s="14">
        <v>2</v>
      </c>
      <c r="C293" s="11">
        <v>8840</v>
      </c>
      <c r="D293" s="12"/>
      <c r="E293" s="13">
        <f>B293-D293</f>
        <v>2</v>
      </c>
    </row>
    <row r="294" spans="1:5" x14ac:dyDescent="0.35">
      <c r="A294" s="9" t="s">
        <v>485</v>
      </c>
      <c r="B294" s="14">
        <v>2</v>
      </c>
      <c r="C294" s="11">
        <v>15300</v>
      </c>
      <c r="D294" s="12"/>
      <c r="E294" s="13">
        <f>B294-D294</f>
        <v>2</v>
      </c>
    </row>
    <row r="295" spans="1:5" x14ac:dyDescent="0.35">
      <c r="A295" s="9" t="s">
        <v>486</v>
      </c>
      <c r="B295" s="14">
        <v>2</v>
      </c>
      <c r="C295" s="11">
        <v>15300</v>
      </c>
      <c r="D295" s="12"/>
      <c r="E295" s="13">
        <f>B295-D295</f>
        <v>2</v>
      </c>
    </row>
    <row r="296" spans="1:5" x14ac:dyDescent="0.35">
      <c r="A296" s="9" t="s">
        <v>487</v>
      </c>
      <c r="B296" s="14">
        <v>2</v>
      </c>
      <c r="C296" s="11">
        <v>34200</v>
      </c>
      <c r="D296" s="12"/>
      <c r="E296" s="13">
        <f>B296-D296</f>
        <v>2</v>
      </c>
    </row>
    <row r="297" spans="1:5" x14ac:dyDescent="0.35">
      <c r="A297" s="9" t="s">
        <v>488</v>
      </c>
      <c r="B297" s="14">
        <v>2</v>
      </c>
      <c r="C297" s="11">
        <v>36890</v>
      </c>
      <c r="D297" s="12"/>
      <c r="E297" s="13">
        <f>B297-D297</f>
        <v>2</v>
      </c>
    </row>
    <row r="298" spans="1:5" x14ac:dyDescent="0.35">
      <c r="A298" s="9" t="s">
        <v>489</v>
      </c>
      <c r="B298" s="14">
        <v>2</v>
      </c>
      <c r="C298" s="11">
        <v>11700</v>
      </c>
      <c r="D298" s="12"/>
      <c r="E298" s="13">
        <f>B298-D298</f>
        <v>2</v>
      </c>
    </row>
    <row r="299" spans="1:5" x14ac:dyDescent="0.35">
      <c r="A299" s="9" t="s">
        <v>490</v>
      </c>
      <c r="B299" s="9">
        <v>2</v>
      </c>
      <c r="C299" s="11">
        <v>30000</v>
      </c>
      <c r="D299" s="12"/>
      <c r="E299" s="13">
        <f>B299-D299</f>
        <v>2</v>
      </c>
    </row>
    <row r="300" spans="1:5" x14ac:dyDescent="0.35">
      <c r="A300" s="9" t="s">
        <v>491</v>
      </c>
      <c r="B300" s="14">
        <v>2</v>
      </c>
      <c r="C300" s="11">
        <v>25500</v>
      </c>
      <c r="D300" s="12">
        <v>1</v>
      </c>
      <c r="E300" s="13">
        <f>B300-D300</f>
        <v>1</v>
      </c>
    </row>
    <row r="301" spans="1:5" x14ac:dyDescent="0.35">
      <c r="A301" s="9" t="s">
        <v>492</v>
      </c>
      <c r="B301" s="14">
        <v>6</v>
      </c>
      <c r="C301" s="11">
        <v>25000</v>
      </c>
      <c r="D301" s="12"/>
      <c r="E301" s="13">
        <f>B301-D301</f>
        <v>6</v>
      </c>
    </row>
    <row r="302" spans="1:5" x14ac:dyDescent="0.35">
      <c r="A302" s="9" t="s">
        <v>492</v>
      </c>
      <c r="B302" s="14">
        <v>2</v>
      </c>
      <c r="C302" s="11">
        <v>14450</v>
      </c>
      <c r="D302" s="12"/>
      <c r="E302" s="13">
        <f>B302-D302</f>
        <v>2</v>
      </c>
    </row>
    <row r="303" spans="1:5" x14ac:dyDescent="0.35">
      <c r="A303" s="9" t="s">
        <v>493</v>
      </c>
      <c r="B303" s="14">
        <v>6</v>
      </c>
      <c r="C303" s="11">
        <v>30000</v>
      </c>
      <c r="D303" s="12"/>
      <c r="E303" s="13">
        <f>B303-D303</f>
        <v>6</v>
      </c>
    </row>
    <row r="304" spans="1:5" x14ac:dyDescent="0.35">
      <c r="A304" s="9" t="s">
        <v>493</v>
      </c>
      <c r="B304" s="14">
        <v>2</v>
      </c>
      <c r="C304" s="11">
        <v>13500</v>
      </c>
      <c r="D304" s="12"/>
      <c r="E304" s="13">
        <f>B304-D304</f>
        <v>2</v>
      </c>
    </row>
    <row r="305" spans="1:5" x14ac:dyDescent="0.35">
      <c r="A305" s="9" t="s">
        <v>494</v>
      </c>
      <c r="B305" s="14">
        <v>2</v>
      </c>
      <c r="C305" s="11">
        <v>7600</v>
      </c>
      <c r="D305" s="12"/>
      <c r="E305" s="13">
        <f>B305-D305</f>
        <v>2</v>
      </c>
    </row>
    <row r="306" spans="1:5" x14ac:dyDescent="0.35">
      <c r="A306" s="9" t="s">
        <v>495</v>
      </c>
      <c r="B306" s="14">
        <v>2</v>
      </c>
      <c r="C306" s="11">
        <v>7600</v>
      </c>
      <c r="D306" s="12">
        <v>1</v>
      </c>
      <c r="E306" s="13">
        <f>B306-D306</f>
        <v>1</v>
      </c>
    </row>
    <row r="307" spans="1:5" x14ac:dyDescent="0.35">
      <c r="A307" s="9" t="s">
        <v>496</v>
      </c>
      <c r="B307" s="14">
        <v>2</v>
      </c>
      <c r="C307" s="11">
        <v>30000</v>
      </c>
      <c r="D307" s="12"/>
      <c r="E307" s="13">
        <f>B307-D307</f>
        <v>2</v>
      </c>
    </row>
    <row r="308" spans="1:5" x14ac:dyDescent="0.35">
      <c r="A308" s="9" t="s">
        <v>497</v>
      </c>
      <c r="B308" s="9">
        <v>2</v>
      </c>
      <c r="C308" s="11">
        <v>12000</v>
      </c>
      <c r="D308" s="12"/>
      <c r="E308" s="13">
        <f>B308-D308</f>
        <v>2</v>
      </c>
    </row>
    <row r="309" spans="1:5" x14ac:dyDescent="0.35">
      <c r="A309" s="9" t="s">
        <v>498</v>
      </c>
      <c r="B309" s="14">
        <v>9</v>
      </c>
      <c r="C309" s="11">
        <v>15000</v>
      </c>
      <c r="D309" s="12"/>
      <c r="E309" s="13">
        <f>B309-D309</f>
        <v>9</v>
      </c>
    </row>
    <row r="310" spans="1:5" x14ac:dyDescent="0.35">
      <c r="A310" s="9" t="s">
        <v>499</v>
      </c>
      <c r="B310" s="14">
        <v>4</v>
      </c>
      <c r="C310" s="11">
        <v>17500</v>
      </c>
      <c r="D310" s="12"/>
      <c r="E310" s="13">
        <f>B310-D310</f>
        <v>4</v>
      </c>
    </row>
    <row r="311" spans="1:5" x14ac:dyDescent="0.35">
      <c r="A311" s="9" t="s">
        <v>499</v>
      </c>
      <c r="B311" s="14">
        <v>7</v>
      </c>
      <c r="C311" s="11">
        <v>17000</v>
      </c>
      <c r="D311" s="12">
        <v>1</v>
      </c>
      <c r="E311" s="13">
        <f>B311-D311</f>
        <v>6</v>
      </c>
    </row>
    <row r="312" spans="1:5" x14ac:dyDescent="0.35">
      <c r="A312" s="9" t="s">
        <v>864</v>
      </c>
      <c r="B312" s="14">
        <v>2</v>
      </c>
      <c r="C312" s="11">
        <v>20000</v>
      </c>
      <c r="D312" s="12"/>
      <c r="E312" s="13">
        <f>B312-D312</f>
        <v>2</v>
      </c>
    </row>
    <row r="313" spans="1:5" x14ac:dyDescent="0.35">
      <c r="A313" s="9" t="s">
        <v>500</v>
      </c>
      <c r="B313" s="9">
        <v>6</v>
      </c>
      <c r="C313" s="11">
        <v>20000</v>
      </c>
      <c r="D313" s="12">
        <v>1</v>
      </c>
      <c r="E313" s="13">
        <f>B313-D313</f>
        <v>5</v>
      </c>
    </row>
    <row r="314" spans="1:5" x14ac:dyDescent="0.35">
      <c r="A314" s="9" t="s">
        <v>501</v>
      </c>
      <c r="B314" s="9">
        <v>6</v>
      </c>
      <c r="C314" s="11">
        <v>20000</v>
      </c>
      <c r="D314" s="12"/>
      <c r="E314" s="13">
        <f>B314-D314</f>
        <v>6</v>
      </c>
    </row>
    <row r="315" spans="1:5" x14ac:dyDescent="0.35">
      <c r="A315" s="9" t="s">
        <v>865</v>
      </c>
      <c r="B315" s="9">
        <v>5</v>
      </c>
      <c r="C315" s="11">
        <v>20000</v>
      </c>
      <c r="D315" s="12"/>
      <c r="E315" s="13">
        <f>B315-D315</f>
        <v>5</v>
      </c>
    </row>
    <row r="316" spans="1:5" x14ac:dyDescent="0.35">
      <c r="A316" s="9" t="s">
        <v>502</v>
      </c>
      <c r="B316" s="14">
        <v>4</v>
      </c>
      <c r="C316" s="11">
        <v>32000</v>
      </c>
      <c r="D316" s="12"/>
      <c r="E316" s="13">
        <f>B316-D316</f>
        <v>4</v>
      </c>
    </row>
    <row r="317" spans="1:5" x14ac:dyDescent="0.35">
      <c r="A317" s="9" t="s">
        <v>502</v>
      </c>
      <c r="B317" s="14">
        <v>2</v>
      </c>
      <c r="C317" s="11">
        <v>30600</v>
      </c>
      <c r="D317" s="12"/>
      <c r="E317" s="13">
        <f>B317-D317</f>
        <v>2</v>
      </c>
    </row>
    <row r="318" spans="1:5" x14ac:dyDescent="0.35">
      <c r="A318" s="9" t="s">
        <v>502</v>
      </c>
      <c r="B318" s="9">
        <v>2</v>
      </c>
      <c r="C318" s="11">
        <v>38000</v>
      </c>
      <c r="D318" s="12">
        <v>2</v>
      </c>
      <c r="E318" s="13">
        <f>B318-D318</f>
        <v>0</v>
      </c>
    </row>
    <row r="319" spans="1:5" x14ac:dyDescent="0.35">
      <c r="A319" s="9" t="s">
        <v>504</v>
      </c>
      <c r="B319" s="9">
        <v>9</v>
      </c>
      <c r="C319" s="15">
        <v>30000</v>
      </c>
      <c r="D319" s="12">
        <v>3</v>
      </c>
      <c r="E319" s="13">
        <f>B319-D319</f>
        <v>6</v>
      </c>
    </row>
    <row r="320" spans="1:5" x14ac:dyDescent="0.35">
      <c r="A320" s="9" t="s">
        <v>504</v>
      </c>
      <c r="B320" s="9">
        <v>3</v>
      </c>
      <c r="C320" s="15">
        <v>20000</v>
      </c>
      <c r="D320" s="12">
        <v>3</v>
      </c>
      <c r="E320" s="13">
        <f>B320-D320</f>
        <v>0</v>
      </c>
    </row>
    <row r="321" spans="1:5" x14ac:dyDescent="0.35">
      <c r="A321" s="9" t="s">
        <v>506</v>
      </c>
      <c r="B321" s="9">
        <v>5</v>
      </c>
      <c r="C321" s="15">
        <v>19000</v>
      </c>
      <c r="D321" s="12"/>
      <c r="E321" s="13">
        <f>B321-D321</f>
        <v>5</v>
      </c>
    </row>
    <row r="322" spans="1:5" x14ac:dyDescent="0.35">
      <c r="A322" s="9" t="s">
        <v>507</v>
      </c>
      <c r="B322" s="9">
        <v>10</v>
      </c>
      <c r="C322" s="15">
        <v>22000</v>
      </c>
      <c r="D322" s="12"/>
      <c r="E322" s="13">
        <f>B322-D322</f>
        <v>10</v>
      </c>
    </row>
    <row r="323" spans="1:5" x14ac:dyDescent="0.35">
      <c r="A323" s="9" t="s">
        <v>508</v>
      </c>
      <c r="B323" s="16">
        <v>6</v>
      </c>
      <c r="C323" s="11">
        <v>39000</v>
      </c>
      <c r="D323" s="12">
        <v>6</v>
      </c>
      <c r="E323" s="13">
        <f>B323-D323</f>
        <v>0</v>
      </c>
    </row>
    <row r="324" spans="1:5" x14ac:dyDescent="0.35">
      <c r="A324" s="9" t="s">
        <v>510</v>
      </c>
      <c r="B324" s="16">
        <v>5</v>
      </c>
      <c r="C324" s="11">
        <v>40000</v>
      </c>
      <c r="D324" s="12"/>
      <c r="E324" s="13">
        <f>B324-D324</f>
        <v>5</v>
      </c>
    </row>
    <row r="325" spans="1:5" x14ac:dyDescent="0.35">
      <c r="A325" s="9" t="s">
        <v>510</v>
      </c>
      <c r="B325" s="16">
        <v>26</v>
      </c>
      <c r="C325" s="11">
        <v>40000</v>
      </c>
      <c r="D325" s="12">
        <v>16</v>
      </c>
      <c r="E325" s="13">
        <f>B325-D325</f>
        <v>10</v>
      </c>
    </row>
    <row r="326" spans="1:5" x14ac:dyDescent="0.35">
      <c r="A326" s="9" t="s">
        <v>511</v>
      </c>
      <c r="B326" s="16">
        <v>4</v>
      </c>
      <c r="C326" s="11">
        <v>50000</v>
      </c>
      <c r="D326" s="12">
        <v>4</v>
      </c>
      <c r="E326" s="13">
        <f>B326-D326</f>
        <v>0</v>
      </c>
    </row>
    <row r="327" spans="1:5" x14ac:dyDescent="0.35">
      <c r="A327" s="9" t="s">
        <v>513</v>
      </c>
      <c r="B327" s="16">
        <v>5</v>
      </c>
      <c r="C327" s="11">
        <v>50000</v>
      </c>
      <c r="D327" s="12"/>
      <c r="E327" s="13">
        <f>B327-D327</f>
        <v>5</v>
      </c>
    </row>
    <row r="328" spans="1:5" x14ac:dyDescent="0.35">
      <c r="A328" s="9" t="s">
        <v>513</v>
      </c>
      <c r="B328" s="16">
        <v>35</v>
      </c>
      <c r="C328" s="11">
        <v>49900</v>
      </c>
      <c r="D328" s="12">
        <v>18</v>
      </c>
      <c r="E328" s="13">
        <f>B328-D328</f>
        <v>17</v>
      </c>
    </row>
    <row r="329" spans="1:5" x14ac:dyDescent="0.35">
      <c r="A329" s="9" t="s">
        <v>514</v>
      </c>
      <c r="B329" s="16">
        <v>2</v>
      </c>
      <c r="C329" s="11">
        <v>49400</v>
      </c>
      <c r="D329" s="12">
        <v>2</v>
      </c>
      <c r="E329" s="13">
        <f>B329-D329</f>
        <v>0</v>
      </c>
    </row>
    <row r="330" spans="1:5" x14ac:dyDescent="0.35">
      <c r="A330" s="9" t="s">
        <v>516</v>
      </c>
      <c r="B330" s="16">
        <v>4</v>
      </c>
      <c r="C330" s="11">
        <v>50000</v>
      </c>
      <c r="D330" s="12"/>
      <c r="E330" s="13">
        <f>B330-D330</f>
        <v>4</v>
      </c>
    </row>
    <row r="331" spans="1:5" x14ac:dyDescent="0.35">
      <c r="A331" s="9" t="s">
        <v>516</v>
      </c>
      <c r="B331" s="16">
        <v>7</v>
      </c>
      <c r="C331" s="34">
        <v>49900</v>
      </c>
      <c r="D331" s="12">
        <v>5</v>
      </c>
      <c r="E331" s="24">
        <f>B331-D331</f>
        <v>2</v>
      </c>
    </row>
    <row r="332" spans="1:5" ht="43.5" x14ac:dyDescent="0.35">
      <c r="A332" s="10" t="s">
        <v>517</v>
      </c>
      <c r="B332" s="21">
        <v>5</v>
      </c>
      <c r="C332" s="34">
        <v>50000</v>
      </c>
      <c r="D332" s="12"/>
      <c r="E332" s="24">
        <f>B332-D332</f>
        <v>5</v>
      </c>
    </row>
    <row r="333" spans="1:5" ht="43.5" x14ac:dyDescent="0.35">
      <c r="A333" s="10" t="s">
        <v>517</v>
      </c>
      <c r="B333" s="21">
        <v>2</v>
      </c>
      <c r="C333" s="34">
        <v>50000</v>
      </c>
      <c r="D333" s="12">
        <v>1</v>
      </c>
      <c r="E333" s="24">
        <f>B333-D333</f>
        <v>1</v>
      </c>
    </row>
    <row r="334" spans="1:5" x14ac:dyDescent="0.35">
      <c r="A334" s="10" t="s">
        <v>518</v>
      </c>
      <c r="B334" s="9">
        <v>2</v>
      </c>
      <c r="C334" s="56">
        <v>12000</v>
      </c>
      <c r="D334" s="12">
        <v>1</v>
      </c>
      <c r="E334" s="24">
        <f>B334-D334</f>
        <v>1</v>
      </c>
    </row>
    <row r="335" spans="1:5" x14ac:dyDescent="0.35">
      <c r="A335" s="10" t="s">
        <v>519</v>
      </c>
      <c r="B335" s="9">
        <v>3</v>
      </c>
      <c r="C335" s="56">
        <v>12000</v>
      </c>
      <c r="D335" s="12"/>
      <c r="E335" s="24">
        <f>B335-D335</f>
        <v>3</v>
      </c>
    </row>
    <row r="336" spans="1:5" ht="29" x14ac:dyDescent="0.35">
      <c r="A336" s="10" t="s">
        <v>520</v>
      </c>
      <c r="B336" s="9">
        <v>2</v>
      </c>
      <c r="C336" s="56">
        <v>12000</v>
      </c>
      <c r="D336" s="12"/>
      <c r="E336" s="24">
        <f>B336-D336</f>
        <v>2</v>
      </c>
    </row>
    <row r="337" spans="1:5" x14ac:dyDescent="0.35">
      <c r="A337" s="9" t="s">
        <v>521</v>
      </c>
      <c r="B337" s="14">
        <v>2</v>
      </c>
      <c r="C337" s="34">
        <v>31725</v>
      </c>
      <c r="D337" s="12">
        <v>2</v>
      </c>
      <c r="E337" s="24">
        <f>B337-D337</f>
        <v>0</v>
      </c>
    </row>
    <row r="338" spans="1:5" x14ac:dyDescent="0.35">
      <c r="A338" s="9" t="s">
        <v>523</v>
      </c>
      <c r="B338" s="14">
        <v>2</v>
      </c>
      <c r="C338" s="34">
        <v>28500</v>
      </c>
      <c r="D338" s="12">
        <v>2</v>
      </c>
      <c r="E338" s="24">
        <f>B338-D338</f>
        <v>0</v>
      </c>
    </row>
    <row r="339" spans="1:5" x14ac:dyDescent="0.35">
      <c r="A339" s="9" t="s">
        <v>525</v>
      </c>
      <c r="B339" s="14">
        <v>2</v>
      </c>
      <c r="C339" s="34">
        <v>120000</v>
      </c>
      <c r="D339" s="12"/>
      <c r="E339" s="24">
        <f>B339-D339</f>
        <v>2</v>
      </c>
    </row>
    <row r="340" spans="1:5" x14ac:dyDescent="0.35">
      <c r="A340" s="9" t="s">
        <v>526</v>
      </c>
      <c r="B340" s="14">
        <v>2</v>
      </c>
      <c r="C340" s="34">
        <v>130200</v>
      </c>
      <c r="D340" s="12">
        <v>2</v>
      </c>
      <c r="E340" s="24">
        <f>B340-D340</f>
        <v>0</v>
      </c>
    </row>
    <row r="341" spans="1:5" x14ac:dyDescent="0.35">
      <c r="A341" s="9" t="s">
        <v>527</v>
      </c>
      <c r="B341" s="14">
        <v>2</v>
      </c>
      <c r="C341" s="34">
        <v>120000</v>
      </c>
      <c r="D341" s="12"/>
      <c r="E341" s="24">
        <f>B341-D341</f>
        <v>2</v>
      </c>
    </row>
    <row r="342" spans="1:5" x14ac:dyDescent="0.35">
      <c r="A342" s="9" t="s">
        <v>866</v>
      </c>
      <c r="B342" s="14">
        <v>2</v>
      </c>
      <c r="C342" s="34">
        <v>145000</v>
      </c>
      <c r="D342" s="12"/>
      <c r="E342" s="24">
        <f>B342-D342</f>
        <v>2</v>
      </c>
    </row>
    <row r="343" spans="1:5" x14ac:dyDescent="0.35">
      <c r="A343" s="9" t="s">
        <v>528</v>
      </c>
      <c r="B343" s="21">
        <v>5</v>
      </c>
      <c r="C343" s="34">
        <v>50000</v>
      </c>
      <c r="D343" s="12">
        <v>2</v>
      </c>
      <c r="E343" s="24">
        <f>B343-D343</f>
        <v>3</v>
      </c>
    </row>
    <row r="344" spans="1:5" x14ac:dyDescent="0.35">
      <c r="A344" s="9" t="s">
        <v>529</v>
      </c>
      <c r="B344" s="14">
        <v>2</v>
      </c>
      <c r="C344" s="11">
        <v>37500</v>
      </c>
      <c r="D344" s="12">
        <v>2</v>
      </c>
      <c r="E344" s="13">
        <f>B344-D344</f>
        <v>0</v>
      </c>
    </row>
    <row r="345" spans="1:5" x14ac:dyDescent="0.35">
      <c r="A345" s="18" t="s">
        <v>531</v>
      </c>
      <c r="B345" s="65">
        <v>3</v>
      </c>
      <c r="C345" s="11">
        <v>33000</v>
      </c>
      <c r="D345" s="12"/>
      <c r="E345" s="13">
        <f>B345-D345</f>
        <v>3</v>
      </c>
    </row>
    <row r="346" spans="1:5" x14ac:dyDescent="0.35">
      <c r="A346" s="9" t="s">
        <v>867</v>
      </c>
      <c r="B346" s="14">
        <v>3</v>
      </c>
      <c r="C346" s="11">
        <v>40000</v>
      </c>
      <c r="D346" s="12"/>
      <c r="E346" s="13">
        <f>B346-D346</f>
        <v>3</v>
      </c>
    </row>
    <row r="347" spans="1:5" x14ac:dyDescent="0.35">
      <c r="A347" s="9" t="s">
        <v>532</v>
      </c>
      <c r="B347" s="21">
        <v>4</v>
      </c>
      <c r="C347" s="11">
        <v>39000</v>
      </c>
      <c r="D347" s="12"/>
      <c r="E347" s="13">
        <f>B347-D347</f>
        <v>4</v>
      </c>
    </row>
    <row r="348" spans="1:5" x14ac:dyDescent="0.35">
      <c r="A348" s="9" t="s">
        <v>532</v>
      </c>
      <c r="B348" s="14">
        <v>2</v>
      </c>
      <c r="C348" s="11">
        <v>33000</v>
      </c>
      <c r="D348" s="12">
        <v>2</v>
      </c>
      <c r="E348" s="13">
        <f>B348-D348</f>
        <v>0</v>
      </c>
    </row>
    <row r="349" spans="1:5" x14ac:dyDescent="0.35">
      <c r="A349" s="19" t="s">
        <v>534</v>
      </c>
      <c r="B349" s="46">
        <v>2</v>
      </c>
      <c r="C349" s="34">
        <v>52500</v>
      </c>
      <c r="D349" s="31">
        <v>1</v>
      </c>
      <c r="E349" s="47">
        <f>B349-D349</f>
        <v>1</v>
      </c>
    </row>
    <row r="350" spans="1:5" x14ac:dyDescent="0.35">
      <c r="A350" s="9" t="s">
        <v>535</v>
      </c>
      <c r="B350" s="14">
        <v>2</v>
      </c>
      <c r="C350" s="11">
        <v>58500</v>
      </c>
      <c r="D350" s="12"/>
      <c r="E350" s="13">
        <f>B350-D350</f>
        <v>2</v>
      </c>
    </row>
    <row r="351" spans="1:5" x14ac:dyDescent="0.35">
      <c r="A351" s="9" t="s">
        <v>536</v>
      </c>
      <c r="B351" s="14">
        <v>2</v>
      </c>
      <c r="C351" s="11">
        <v>43500</v>
      </c>
      <c r="D351" s="12">
        <v>1</v>
      </c>
      <c r="E351" s="13">
        <f>B351-D351</f>
        <v>1</v>
      </c>
    </row>
    <row r="352" spans="1:5" x14ac:dyDescent="0.35">
      <c r="A352" s="9" t="s">
        <v>537</v>
      </c>
      <c r="B352" s="9">
        <v>1</v>
      </c>
      <c r="C352" s="11">
        <v>28688</v>
      </c>
      <c r="D352" s="12">
        <v>1</v>
      </c>
      <c r="E352" s="13">
        <f>B352-D352</f>
        <v>0</v>
      </c>
    </row>
    <row r="353" spans="1:5" x14ac:dyDescent="0.35">
      <c r="A353" s="9" t="s">
        <v>539</v>
      </c>
      <c r="B353" s="9">
        <v>1</v>
      </c>
      <c r="C353" s="34">
        <v>28688</v>
      </c>
      <c r="D353" s="12">
        <v>1</v>
      </c>
      <c r="E353" s="13">
        <f>B353-D353</f>
        <v>0</v>
      </c>
    </row>
    <row r="354" spans="1:5" x14ac:dyDescent="0.35">
      <c r="A354" s="9" t="s">
        <v>539</v>
      </c>
      <c r="B354" s="9">
        <v>3</v>
      </c>
      <c r="C354" s="34">
        <v>32000</v>
      </c>
      <c r="D354" s="12"/>
      <c r="E354" s="13">
        <f>B354-D354</f>
        <v>3</v>
      </c>
    </row>
    <row r="355" spans="1:5" x14ac:dyDescent="0.35">
      <c r="A355" s="9" t="s">
        <v>541</v>
      </c>
      <c r="B355" s="9">
        <v>3</v>
      </c>
      <c r="C355" s="34">
        <v>32000</v>
      </c>
      <c r="D355" s="12">
        <v>1</v>
      </c>
      <c r="E355" s="13">
        <f>B355-D355</f>
        <v>2</v>
      </c>
    </row>
    <row r="356" spans="1:5" x14ac:dyDescent="0.35">
      <c r="A356" s="9" t="s">
        <v>542</v>
      </c>
      <c r="B356" s="9">
        <v>3</v>
      </c>
      <c r="C356" s="34">
        <v>80000</v>
      </c>
      <c r="D356" s="12"/>
      <c r="E356" s="13">
        <f>B356-D356</f>
        <v>3</v>
      </c>
    </row>
    <row r="357" spans="1:5" x14ac:dyDescent="0.35">
      <c r="A357" s="9" t="s">
        <v>543</v>
      </c>
      <c r="B357" s="14">
        <v>2</v>
      </c>
      <c r="C357" s="34">
        <v>67500</v>
      </c>
      <c r="D357" s="12">
        <v>1</v>
      </c>
      <c r="E357" s="13">
        <f>B357-D357</f>
        <v>1</v>
      </c>
    </row>
    <row r="358" spans="1:5" x14ac:dyDescent="0.35">
      <c r="A358" s="19" t="s">
        <v>544</v>
      </c>
      <c r="B358" s="19">
        <v>1</v>
      </c>
      <c r="C358" s="34">
        <v>82000</v>
      </c>
      <c r="D358" s="31"/>
      <c r="E358" s="47">
        <f>B358-D358</f>
        <v>1</v>
      </c>
    </row>
    <row r="359" spans="1:5" x14ac:dyDescent="0.35">
      <c r="A359" s="9" t="s">
        <v>545</v>
      </c>
      <c r="B359" s="9">
        <v>3</v>
      </c>
      <c r="C359" s="11">
        <v>32000</v>
      </c>
      <c r="D359" s="12"/>
      <c r="E359" s="13">
        <f>B359-D359</f>
        <v>3</v>
      </c>
    </row>
    <row r="360" spans="1:5" x14ac:dyDescent="0.35">
      <c r="A360" s="9" t="s">
        <v>546</v>
      </c>
      <c r="B360" s="14">
        <v>2</v>
      </c>
      <c r="C360" s="11">
        <v>39750</v>
      </c>
      <c r="D360" s="12">
        <v>1</v>
      </c>
      <c r="E360" s="13">
        <f>B360-D360</f>
        <v>1</v>
      </c>
    </row>
    <row r="361" spans="1:5" x14ac:dyDescent="0.35">
      <c r="A361" s="9" t="s">
        <v>547</v>
      </c>
      <c r="B361" s="14">
        <v>2</v>
      </c>
      <c r="C361" s="11">
        <v>39750</v>
      </c>
      <c r="D361" s="12">
        <v>1</v>
      </c>
      <c r="E361" s="13">
        <f>B361-D361</f>
        <v>1</v>
      </c>
    </row>
    <row r="362" spans="1:5" x14ac:dyDescent="0.35">
      <c r="A362" s="9" t="s">
        <v>548</v>
      </c>
      <c r="B362" s="14">
        <v>2</v>
      </c>
      <c r="C362" s="11">
        <v>39750</v>
      </c>
      <c r="D362" s="12">
        <v>2</v>
      </c>
      <c r="E362" s="13">
        <f>B362-D362</f>
        <v>0</v>
      </c>
    </row>
    <row r="363" spans="1:5" x14ac:dyDescent="0.35">
      <c r="A363" s="9" t="s">
        <v>550</v>
      </c>
      <c r="B363" s="14">
        <v>2</v>
      </c>
      <c r="C363" s="11">
        <v>39750</v>
      </c>
      <c r="D363" s="12">
        <v>2</v>
      </c>
      <c r="E363" s="13">
        <f>B363-D363</f>
        <v>0</v>
      </c>
    </row>
    <row r="364" spans="1:5" x14ac:dyDescent="0.35">
      <c r="A364" s="9" t="s">
        <v>552</v>
      </c>
      <c r="B364" s="14">
        <v>2</v>
      </c>
      <c r="C364" s="11">
        <v>61500</v>
      </c>
      <c r="D364" s="12">
        <v>1</v>
      </c>
      <c r="E364" s="13">
        <f>B364-D364</f>
        <v>1</v>
      </c>
    </row>
    <row r="365" spans="1:5" x14ac:dyDescent="0.35">
      <c r="A365" s="9" t="s">
        <v>553</v>
      </c>
      <c r="B365" s="9">
        <v>1</v>
      </c>
      <c r="C365" s="11">
        <v>35200</v>
      </c>
      <c r="D365" s="12">
        <v>1</v>
      </c>
      <c r="E365" s="13">
        <f>B365-D365</f>
        <v>0</v>
      </c>
    </row>
    <row r="366" spans="1:5" x14ac:dyDescent="0.35">
      <c r="A366" s="9" t="s">
        <v>555</v>
      </c>
      <c r="B366" s="9">
        <v>16</v>
      </c>
      <c r="C366" s="11">
        <v>28000</v>
      </c>
      <c r="D366" s="12">
        <v>6</v>
      </c>
      <c r="E366" s="13">
        <f>B366-D366</f>
        <v>10</v>
      </c>
    </row>
    <row r="367" spans="1:5" x14ac:dyDescent="0.35">
      <c r="A367" s="9" t="s">
        <v>556</v>
      </c>
      <c r="B367" s="9">
        <v>3</v>
      </c>
      <c r="C367" s="15">
        <v>32000</v>
      </c>
      <c r="D367" s="12"/>
      <c r="E367" s="13">
        <f>B367-D367</f>
        <v>3</v>
      </c>
    </row>
    <row r="368" spans="1:5" x14ac:dyDescent="0.35">
      <c r="A368" s="9" t="s">
        <v>557</v>
      </c>
      <c r="B368" s="9">
        <v>10</v>
      </c>
      <c r="C368" s="11">
        <v>15000</v>
      </c>
      <c r="D368" s="12"/>
      <c r="E368" s="13">
        <f>B368-D368</f>
        <v>10</v>
      </c>
    </row>
    <row r="369" spans="1:5" ht="29" x14ac:dyDescent="0.35">
      <c r="A369" s="10" t="s">
        <v>558</v>
      </c>
      <c r="B369" s="9">
        <v>9</v>
      </c>
      <c r="C369" s="15">
        <v>49000</v>
      </c>
      <c r="D369" s="12">
        <v>6</v>
      </c>
      <c r="E369" s="13">
        <f>B369-D369</f>
        <v>3</v>
      </c>
    </row>
    <row r="370" spans="1:5" ht="29" x14ac:dyDescent="0.35">
      <c r="A370" s="10" t="s">
        <v>559</v>
      </c>
      <c r="B370" s="9">
        <v>2</v>
      </c>
      <c r="C370" s="15">
        <v>14000</v>
      </c>
      <c r="D370" s="12"/>
      <c r="E370" s="13">
        <f>B370-D370</f>
        <v>2</v>
      </c>
    </row>
    <row r="371" spans="1:5" ht="29" x14ac:dyDescent="0.35">
      <c r="A371" s="10" t="s">
        <v>560</v>
      </c>
      <c r="B371" s="9">
        <v>2</v>
      </c>
      <c r="C371" s="15">
        <v>14000</v>
      </c>
      <c r="D371" s="12">
        <v>1</v>
      </c>
      <c r="E371" s="13">
        <f>B371-D371</f>
        <v>1</v>
      </c>
    </row>
    <row r="372" spans="1:5" x14ac:dyDescent="0.35">
      <c r="A372" s="9" t="s">
        <v>868</v>
      </c>
      <c r="B372" s="9">
        <v>10</v>
      </c>
      <c r="C372" s="11">
        <v>5000</v>
      </c>
      <c r="D372" s="12"/>
      <c r="E372" s="13">
        <f>B372-D372</f>
        <v>10</v>
      </c>
    </row>
    <row r="373" spans="1:5" x14ac:dyDescent="0.35">
      <c r="A373" s="9" t="s">
        <v>868</v>
      </c>
      <c r="B373" s="9">
        <v>10</v>
      </c>
      <c r="C373" s="11">
        <v>6000</v>
      </c>
      <c r="D373" s="12"/>
      <c r="E373" s="13">
        <f>B373-D373</f>
        <v>10</v>
      </c>
    </row>
    <row r="374" spans="1:5" ht="29" x14ac:dyDescent="0.35">
      <c r="A374" s="10" t="s">
        <v>561</v>
      </c>
      <c r="B374" s="9">
        <v>6</v>
      </c>
      <c r="C374" s="15">
        <v>30000</v>
      </c>
      <c r="D374" s="12">
        <v>1</v>
      </c>
      <c r="E374" s="13">
        <f>B374-D374</f>
        <v>5</v>
      </c>
    </row>
    <row r="375" spans="1:5" x14ac:dyDescent="0.35">
      <c r="A375" s="9" t="s">
        <v>562</v>
      </c>
      <c r="B375" s="9">
        <v>2</v>
      </c>
      <c r="C375" s="11">
        <v>15800</v>
      </c>
      <c r="D375" s="12"/>
      <c r="E375" s="13">
        <f>B375-D375</f>
        <v>2</v>
      </c>
    </row>
    <row r="376" spans="1:5" x14ac:dyDescent="0.35">
      <c r="A376" s="9" t="s">
        <v>563</v>
      </c>
      <c r="B376" s="9">
        <v>2</v>
      </c>
      <c r="C376" s="11">
        <v>15800</v>
      </c>
      <c r="D376" s="12"/>
      <c r="E376" s="13">
        <f>B376-D376</f>
        <v>2</v>
      </c>
    </row>
    <row r="377" spans="1:5" x14ac:dyDescent="0.35">
      <c r="A377" s="9" t="s">
        <v>564</v>
      </c>
      <c r="B377" s="9">
        <v>2</v>
      </c>
      <c r="C377" s="11">
        <v>16000</v>
      </c>
      <c r="D377" s="12"/>
      <c r="E377" s="13">
        <f>B377-D377</f>
        <v>2</v>
      </c>
    </row>
    <row r="378" spans="1:5" x14ac:dyDescent="0.35">
      <c r="A378" s="9" t="s">
        <v>565</v>
      </c>
      <c r="B378" s="9">
        <v>2</v>
      </c>
      <c r="C378" s="11">
        <v>16000</v>
      </c>
      <c r="D378" s="12"/>
      <c r="E378" s="13">
        <f>B378-D378</f>
        <v>2</v>
      </c>
    </row>
    <row r="379" spans="1:5" x14ac:dyDescent="0.35">
      <c r="A379" s="9" t="s">
        <v>566</v>
      </c>
      <c r="B379" s="9">
        <v>4</v>
      </c>
      <c r="C379" s="11">
        <v>17100</v>
      </c>
      <c r="D379" s="12"/>
      <c r="E379" s="13">
        <f>B379-D379</f>
        <v>4</v>
      </c>
    </row>
    <row r="380" spans="1:5" x14ac:dyDescent="0.35">
      <c r="A380" s="9" t="s">
        <v>567</v>
      </c>
      <c r="B380" s="9">
        <v>4</v>
      </c>
      <c r="C380" s="11">
        <v>22000</v>
      </c>
      <c r="D380" s="12"/>
      <c r="E380" s="13">
        <f>B380-D380</f>
        <v>4</v>
      </c>
    </row>
    <row r="381" spans="1:5" x14ac:dyDescent="0.35">
      <c r="A381" s="9" t="s">
        <v>568</v>
      </c>
      <c r="B381" s="14">
        <v>10</v>
      </c>
      <c r="C381" s="11">
        <v>4050</v>
      </c>
      <c r="D381" s="12">
        <v>3</v>
      </c>
      <c r="E381" s="13">
        <f>B381-D381</f>
        <v>7</v>
      </c>
    </row>
    <row r="382" spans="1:5" x14ac:dyDescent="0.35">
      <c r="A382" s="9" t="s">
        <v>569</v>
      </c>
      <c r="B382" s="9">
        <v>10</v>
      </c>
      <c r="C382" s="11">
        <v>4500</v>
      </c>
      <c r="D382" s="12"/>
      <c r="E382" s="13">
        <f>B382-D382</f>
        <v>10</v>
      </c>
    </row>
    <row r="383" spans="1:5" x14ac:dyDescent="0.35">
      <c r="A383" s="9" t="s">
        <v>570</v>
      </c>
      <c r="B383" s="14">
        <v>10</v>
      </c>
      <c r="C383" s="11">
        <v>3300</v>
      </c>
      <c r="D383" s="12">
        <v>6</v>
      </c>
      <c r="E383" s="13">
        <f>B383-D383</f>
        <v>4</v>
      </c>
    </row>
    <row r="384" spans="1:5" x14ac:dyDescent="0.35">
      <c r="A384" s="9" t="s">
        <v>571</v>
      </c>
      <c r="B384" s="9">
        <v>35</v>
      </c>
      <c r="C384" s="11">
        <v>12000</v>
      </c>
      <c r="D384" s="12"/>
      <c r="E384" s="13">
        <f>B384-D384</f>
        <v>35</v>
      </c>
    </row>
    <row r="385" spans="1:5" x14ac:dyDescent="0.35">
      <c r="A385" s="9" t="s">
        <v>572</v>
      </c>
      <c r="B385" s="9">
        <v>2</v>
      </c>
      <c r="C385" s="11">
        <v>450000</v>
      </c>
      <c r="D385" s="12"/>
      <c r="E385" s="13">
        <f>B385-D385</f>
        <v>2</v>
      </c>
    </row>
    <row r="386" spans="1:5" x14ac:dyDescent="0.35">
      <c r="A386" s="9" t="s">
        <v>573</v>
      </c>
      <c r="B386" s="9">
        <v>10</v>
      </c>
      <c r="C386" s="11">
        <v>15000</v>
      </c>
      <c r="D386" s="12">
        <v>2</v>
      </c>
      <c r="E386" s="13">
        <f>B386-D386</f>
        <v>8</v>
      </c>
    </row>
    <row r="387" spans="1:5" x14ac:dyDescent="0.35">
      <c r="A387" s="9" t="s">
        <v>574</v>
      </c>
      <c r="B387" s="9">
        <v>2</v>
      </c>
      <c r="C387" s="11">
        <v>550000</v>
      </c>
      <c r="D387" s="12">
        <v>1</v>
      </c>
      <c r="E387" s="13">
        <f>B387-D387</f>
        <v>1</v>
      </c>
    </row>
    <row r="388" spans="1:5" x14ac:dyDescent="0.35">
      <c r="A388" s="9" t="s">
        <v>575</v>
      </c>
      <c r="B388" s="9">
        <v>1</v>
      </c>
      <c r="C388" s="11">
        <v>450000</v>
      </c>
      <c r="D388" s="12"/>
      <c r="E388" s="13">
        <f>B388-D388</f>
        <v>1</v>
      </c>
    </row>
    <row r="389" spans="1:5" x14ac:dyDescent="0.35">
      <c r="A389" s="9" t="s">
        <v>576</v>
      </c>
      <c r="B389" s="9">
        <v>1</v>
      </c>
      <c r="C389" s="11">
        <v>450000</v>
      </c>
      <c r="D389" s="12"/>
      <c r="E389" s="13">
        <f>B389-D389</f>
        <v>1</v>
      </c>
    </row>
    <row r="390" spans="1:5" x14ac:dyDescent="0.35">
      <c r="A390" s="9" t="s">
        <v>577</v>
      </c>
      <c r="B390" s="9">
        <v>4</v>
      </c>
      <c r="C390" s="11">
        <v>12000</v>
      </c>
      <c r="D390" s="12"/>
      <c r="E390" s="13">
        <f>B390-D390</f>
        <v>4</v>
      </c>
    </row>
    <row r="391" spans="1:5" x14ac:dyDescent="0.35">
      <c r="A391" s="9" t="s">
        <v>578</v>
      </c>
      <c r="B391" s="9">
        <v>2</v>
      </c>
      <c r="C391" s="11">
        <v>20000</v>
      </c>
      <c r="D391" s="12">
        <v>2</v>
      </c>
      <c r="E391" s="13">
        <f>B391-D391</f>
        <v>0</v>
      </c>
    </row>
    <row r="392" spans="1:5" x14ac:dyDescent="0.35">
      <c r="A392" s="9" t="s">
        <v>580</v>
      </c>
      <c r="B392" s="9">
        <v>8</v>
      </c>
      <c r="C392" s="11">
        <v>15000</v>
      </c>
      <c r="D392" s="12">
        <v>1</v>
      </c>
      <c r="E392" s="13">
        <f>B392-D392</f>
        <v>7</v>
      </c>
    </row>
    <row r="393" spans="1:5" x14ac:dyDescent="0.35">
      <c r="A393" s="10" t="s">
        <v>581</v>
      </c>
      <c r="B393" s="21">
        <v>3</v>
      </c>
      <c r="C393" s="11">
        <v>16000</v>
      </c>
      <c r="D393" s="12"/>
      <c r="E393" s="13">
        <f>B393-D393</f>
        <v>3</v>
      </c>
    </row>
    <row r="394" spans="1:5" x14ac:dyDescent="0.35">
      <c r="A394" s="10" t="s">
        <v>582</v>
      </c>
      <c r="B394" s="21">
        <v>3</v>
      </c>
      <c r="C394" s="11">
        <v>16000</v>
      </c>
      <c r="D394" s="12">
        <v>1</v>
      </c>
      <c r="E394" s="13">
        <f>B394-D394</f>
        <v>2</v>
      </c>
    </row>
    <row r="395" spans="1:5" x14ac:dyDescent="0.35">
      <c r="A395" s="9" t="s">
        <v>758</v>
      </c>
      <c r="B395" s="9">
        <v>5</v>
      </c>
      <c r="C395" s="11">
        <v>30000</v>
      </c>
      <c r="D395" s="12"/>
      <c r="E395" s="13">
        <f>B395-D395</f>
        <v>5</v>
      </c>
    </row>
    <row r="396" spans="1:5" x14ac:dyDescent="0.35">
      <c r="A396" s="9" t="s">
        <v>583</v>
      </c>
      <c r="B396" s="9">
        <v>2</v>
      </c>
      <c r="C396" s="11">
        <v>30000</v>
      </c>
      <c r="D396" s="12">
        <v>2</v>
      </c>
      <c r="E396" s="13">
        <f>B396-D396</f>
        <v>0</v>
      </c>
    </row>
    <row r="397" spans="1:5" x14ac:dyDescent="0.35">
      <c r="A397" s="9" t="s">
        <v>759</v>
      </c>
      <c r="B397" s="9">
        <v>5</v>
      </c>
      <c r="C397" s="11">
        <v>30000</v>
      </c>
      <c r="D397" s="12"/>
      <c r="E397" s="13">
        <f>B397-D397</f>
        <v>5</v>
      </c>
    </row>
    <row r="398" spans="1:5" x14ac:dyDescent="0.35">
      <c r="A398" s="21" t="s">
        <v>585</v>
      </c>
      <c r="B398" s="14">
        <v>16</v>
      </c>
      <c r="C398" s="11">
        <v>35000</v>
      </c>
      <c r="D398" s="12">
        <v>15</v>
      </c>
      <c r="E398" s="13">
        <f>B398-D398</f>
        <v>1</v>
      </c>
    </row>
    <row r="399" spans="1:5" x14ac:dyDescent="0.35">
      <c r="A399" s="21" t="s">
        <v>585</v>
      </c>
      <c r="B399" s="14">
        <v>1</v>
      </c>
      <c r="C399" s="11">
        <v>35000</v>
      </c>
      <c r="D399" s="12">
        <v>1</v>
      </c>
      <c r="E399" s="13">
        <f>B399-D399</f>
        <v>0</v>
      </c>
    </row>
    <row r="400" spans="1:5" x14ac:dyDescent="0.35">
      <c r="A400" s="21" t="s">
        <v>587</v>
      </c>
      <c r="B400" s="21">
        <v>16</v>
      </c>
      <c r="C400" s="11">
        <v>35000</v>
      </c>
      <c r="D400" s="12">
        <v>16</v>
      </c>
      <c r="E400" s="13">
        <f>B400-D400</f>
        <v>0</v>
      </c>
    </row>
    <row r="401" spans="1:5" x14ac:dyDescent="0.35">
      <c r="A401" s="21" t="s">
        <v>587</v>
      </c>
      <c r="B401" s="21">
        <v>3</v>
      </c>
      <c r="C401" s="11">
        <v>35000</v>
      </c>
      <c r="D401" s="12">
        <v>3</v>
      </c>
      <c r="E401" s="13">
        <f>B401-D401</f>
        <v>0</v>
      </c>
    </row>
    <row r="402" spans="1:5" x14ac:dyDescent="0.35">
      <c r="A402" s="21" t="s">
        <v>590</v>
      </c>
      <c r="B402" s="21">
        <v>4</v>
      </c>
      <c r="C402" s="11">
        <v>40000</v>
      </c>
      <c r="D402" s="12">
        <v>4</v>
      </c>
      <c r="E402" s="13">
        <f>B402-D402</f>
        <v>0</v>
      </c>
    </row>
    <row r="403" spans="1:5" x14ac:dyDescent="0.35">
      <c r="A403" s="21" t="s">
        <v>592</v>
      </c>
      <c r="B403" s="21">
        <v>2</v>
      </c>
      <c r="C403" s="11">
        <v>35200</v>
      </c>
      <c r="D403" s="7">
        <v>2</v>
      </c>
      <c r="E403" s="13">
        <f>B403-D403</f>
        <v>0</v>
      </c>
    </row>
    <row r="404" spans="1:5" x14ac:dyDescent="0.35">
      <c r="A404" s="21" t="s">
        <v>594</v>
      </c>
      <c r="B404" s="21">
        <v>2</v>
      </c>
      <c r="C404" s="11">
        <v>35000</v>
      </c>
      <c r="D404" s="7">
        <v>2</v>
      </c>
      <c r="E404" s="13">
        <f>B404-D404</f>
        <v>0</v>
      </c>
    </row>
    <row r="405" spans="1:5" x14ac:dyDescent="0.35">
      <c r="A405" s="21" t="s">
        <v>596</v>
      </c>
      <c r="B405" s="21">
        <v>8</v>
      </c>
      <c r="C405" s="11">
        <v>35000</v>
      </c>
      <c r="D405" s="7">
        <v>8</v>
      </c>
      <c r="E405" s="13">
        <f>B405-D405</f>
        <v>0</v>
      </c>
    </row>
    <row r="406" spans="1:5" x14ac:dyDescent="0.35">
      <c r="A406" s="21" t="s">
        <v>598</v>
      </c>
      <c r="B406" s="21">
        <v>10</v>
      </c>
      <c r="C406" s="11">
        <v>30000</v>
      </c>
      <c r="D406" s="7">
        <v>7</v>
      </c>
      <c r="E406" s="13">
        <f>B406-D406</f>
        <v>3</v>
      </c>
    </row>
    <row r="407" spans="1:5" x14ac:dyDescent="0.35">
      <c r="A407" s="21" t="s">
        <v>599</v>
      </c>
      <c r="B407" s="21">
        <v>10</v>
      </c>
      <c r="C407" s="11">
        <v>30000</v>
      </c>
      <c r="D407" s="7">
        <v>10</v>
      </c>
      <c r="E407" s="13">
        <f>B407-D407</f>
        <v>0</v>
      </c>
    </row>
    <row r="408" spans="1:5" x14ac:dyDescent="0.35">
      <c r="A408" s="9" t="s">
        <v>601</v>
      </c>
      <c r="B408" s="9">
        <v>5</v>
      </c>
      <c r="C408" s="11">
        <v>30000</v>
      </c>
      <c r="D408" s="7">
        <v>2</v>
      </c>
      <c r="E408" s="13">
        <f>B408-D408</f>
        <v>3</v>
      </c>
    </row>
    <row r="409" spans="1:5" x14ac:dyDescent="0.35">
      <c r="A409" s="9" t="s">
        <v>602</v>
      </c>
      <c r="B409" s="9">
        <v>6</v>
      </c>
      <c r="C409" s="11">
        <v>30000</v>
      </c>
      <c r="D409" s="7"/>
      <c r="E409" s="13">
        <f>B409-D409</f>
        <v>6</v>
      </c>
    </row>
    <row r="410" spans="1:5" x14ac:dyDescent="0.35">
      <c r="A410" s="9" t="s">
        <v>603</v>
      </c>
      <c r="B410" s="9">
        <v>4</v>
      </c>
      <c r="C410" s="11">
        <v>30000</v>
      </c>
      <c r="D410" s="7">
        <v>1</v>
      </c>
      <c r="E410" s="13">
        <f>B410-D410</f>
        <v>3</v>
      </c>
    </row>
    <row r="411" spans="1:5" x14ac:dyDescent="0.35">
      <c r="A411" s="9" t="s">
        <v>604</v>
      </c>
      <c r="B411" s="9">
        <v>2</v>
      </c>
      <c r="C411" s="11">
        <v>80000</v>
      </c>
      <c r="D411" s="7">
        <v>2</v>
      </c>
      <c r="E411" s="13">
        <f>B411-D411</f>
        <v>0</v>
      </c>
    </row>
    <row r="412" spans="1:5" x14ac:dyDescent="0.35">
      <c r="A412" s="9" t="s">
        <v>604</v>
      </c>
      <c r="B412" s="9">
        <v>2</v>
      </c>
      <c r="C412" s="11">
        <v>80000</v>
      </c>
      <c r="D412" s="7">
        <v>2</v>
      </c>
      <c r="E412" s="13">
        <f>B412-D412</f>
        <v>0</v>
      </c>
    </row>
    <row r="413" spans="1:5" x14ac:dyDescent="0.35">
      <c r="A413" s="21" t="s">
        <v>607</v>
      </c>
      <c r="B413" s="21">
        <v>2</v>
      </c>
      <c r="C413" s="11">
        <v>62700</v>
      </c>
      <c r="D413" s="7"/>
      <c r="E413" s="13">
        <f>B413-D413</f>
        <v>2</v>
      </c>
    </row>
    <row r="414" spans="1:5" x14ac:dyDescent="0.35">
      <c r="A414" s="21" t="s">
        <v>607</v>
      </c>
      <c r="B414" s="21">
        <v>2</v>
      </c>
      <c r="C414" s="11">
        <v>82500</v>
      </c>
      <c r="D414" s="7">
        <v>1</v>
      </c>
      <c r="E414" s="13">
        <f>B414-D414</f>
        <v>1</v>
      </c>
    </row>
    <row r="415" spans="1:5" x14ac:dyDescent="0.35">
      <c r="A415" s="21" t="s">
        <v>608</v>
      </c>
      <c r="B415" s="9">
        <v>2</v>
      </c>
      <c r="C415" s="11">
        <v>100000</v>
      </c>
      <c r="D415" s="7">
        <v>1</v>
      </c>
      <c r="E415" s="13">
        <f>B415-D415</f>
        <v>1</v>
      </c>
    </row>
    <row r="416" spans="1:5" x14ac:dyDescent="0.35">
      <c r="A416" s="21" t="s">
        <v>609</v>
      </c>
      <c r="B416" s="21">
        <v>2</v>
      </c>
      <c r="C416" s="11">
        <v>80000</v>
      </c>
      <c r="D416" s="7"/>
      <c r="E416" s="13">
        <f>B416-D416</f>
        <v>2</v>
      </c>
    </row>
    <row r="417" spans="1:5" x14ac:dyDescent="0.35">
      <c r="A417" s="21" t="s">
        <v>609</v>
      </c>
      <c r="B417" s="21">
        <v>2</v>
      </c>
      <c r="C417" s="11">
        <v>70000</v>
      </c>
      <c r="D417" s="7">
        <v>2</v>
      </c>
      <c r="E417" s="13">
        <f>B417-D417</f>
        <v>0</v>
      </c>
    </row>
    <row r="418" spans="1:5" x14ac:dyDescent="0.35">
      <c r="A418" s="21" t="s">
        <v>611</v>
      </c>
      <c r="B418" s="21">
        <v>5</v>
      </c>
      <c r="C418" s="11">
        <v>75000</v>
      </c>
      <c r="D418" s="7">
        <v>4</v>
      </c>
      <c r="E418" s="13">
        <f>B418-D418</f>
        <v>1</v>
      </c>
    </row>
    <row r="419" spans="1:5" x14ac:dyDescent="0.35">
      <c r="A419" s="21" t="s">
        <v>611</v>
      </c>
      <c r="B419" s="21">
        <v>2</v>
      </c>
      <c r="C419" s="11">
        <v>82500</v>
      </c>
      <c r="D419" s="7">
        <v>2</v>
      </c>
      <c r="E419" s="8">
        <f>B419-D419</f>
        <v>0</v>
      </c>
    </row>
    <row r="420" spans="1:5" x14ac:dyDescent="0.35">
      <c r="A420" s="21" t="s">
        <v>613</v>
      </c>
      <c r="B420" s="16">
        <v>1</v>
      </c>
      <c r="C420" s="11">
        <v>168000</v>
      </c>
      <c r="D420" s="12">
        <v>1</v>
      </c>
      <c r="E420" s="13">
        <f>B420-D420</f>
        <v>0</v>
      </c>
    </row>
    <row r="421" spans="1:5" x14ac:dyDescent="0.35">
      <c r="A421" s="21" t="s">
        <v>615</v>
      </c>
      <c r="B421" s="21">
        <v>2</v>
      </c>
      <c r="C421" s="11">
        <v>180000</v>
      </c>
      <c r="D421" s="12">
        <v>1</v>
      </c>
      <c r="E421" s="13">
        <f>B421-D421</f>
        <v>1</v>
      </c>
    </row>
    <row r="422" spans="1:5" x14ac:dyDescent="0.35">
      <c r="A422" s="21" t="s">
        <v>615</v>
      </c>
      <c r="B422" s="21">
        <v>1</v>
      </c>
      <c r="C422" s="11">
        <v>200000</v>
      </c>
      <c r="D422" s="12"/>
      <c r="E422" s="13">
        <f>B422-D422</f>
        <v>1</v>
      </c>
    </row>
    <row r="423" spans="1:5" x14ac:dyDescent="0.35">
      <c r="A423" s="21" t="s">
        <v>615</v>
      </c>
      <c r="B423" s="21">
        <v>2</v>
      </c>
      <c r="C423" s="11">
        <v>200000</v>
      </c>
      <c r="D423" s="12">
        <v>2</v>
      </c>
      <c r="E423" s="13">
        <f>B423-D423</f>
        <v>0</v>
      </c>
    </row>
    <row r="424" spans="1:5" x14ac:dyDescent="0.35">
      <c r="A424" s="21" t="s">
        <v>617</v>
      </c>
      <c r="B424" s="21">
        <v>1</v>
      </c>
      <c r="C424" s="11">
        <v>200000</v>
      </c>
      <c r="D424" s="12">
        <v>1</v>
      </c>
      <c r="E424" s="13">
        <f>B424-D424</f>
        <v>0</v>
      </c>
    </row>
    <row r="425" spans="1:5" x14ac:dyDescent="0.35">
      <c r="A425" s="21" t="s">
        <v>619</v>
      </c>
      <c r="B425" s="21">
        <v>25</v>
      </c>
      <c r="C425" s="11">
        <v>82500</v>
      </c>
      <c r="D425" s="12">
        <v>25</v>
      </c>
      <c r="E425" s="13">
        <f>B425-D425</f>
        <v>0</v>
      </c>
    </row>
    <row r="426" spans="1:5" x14ac:dyDescent="0.35">
      <c r="A426" s="18" t="s">
        <v>619</v>
      </c>
      <c r="B426" s="21">
        <v>23</v>
      </c>
      <c r="C426" s="11">
        <v>85000</v>
      </c>
      <c r="D426" s="12">
        <v>17</v>
      </c>
      <c r="E426" s="13">
        <f>B426-D426</f>
        <v>6</v>
      </c>
    </row>
    <row r="427" spans="1:5" x14ac:dyDescent="0.35">
      <c r="A427" s="18" t="s">
        <v>619</v>
      </c>
      <c r="B427" s="9">
        <v>5</v>
      </c>
      <c r="C427" s="11">
        <v>80000</v>
      </c>
      <c r="D427" s="12">
        <v>5</v>
      </c>
      <c r="E427" s="13">
        <f>B427-D427</f>
        <v>0</v>
      </c>
    </row>
    <row r="428" spans="1:5" x14ac:dyDescent="0.35">
      <c r="A428" s="21" t="s">
        <v>622</v>
      </c>
      <c r="B428" s="21">
        <v>2</v>
      </c>
      <c r="C428" s="11">
        <v>82500</v>
      </c>
      <c r="D428" s="12">
        <v>2</v>
      </c>
      <c r="E428" s="13">
        <f>B428-D428</f>
        <v>0</v>
      </c>
    </row>
    <row r="429" spans="1:5" x14ac:dyDescent="0.35">
      <c r="A429" s="9" t="s">
        <v>622</v>
      </c>
      <c r="B429" s="21">
        <v>2</v>
      </c>
      <c r="C429" s="11">
        <v>85000</v>
      </c>
      <c r="D429" s="12">
        <v>2</v>
      </c>
      <c r="E429" s="13">
        <f>B429-D429</f>
        <v>0</v>
      </c>
    </row>
    <row r="430" spans="1:5" x14ac:dyDescent="0.35">
      <c r="A430" s="9" t="s">
        <v>622</v>
      </c>
      <c r="B430" s="9">
        <v>2</v>
      </c>
      <c r="C430" s="11">
        <v>85000</v>
      </c>
      <c r="D430" s="12">
        <v>2</v>
      </c>
      <c r="E430" s="13">
        <f>B430-D430</f>
        <v>0</v>
      </c>
    </row>
    <row r="431" spans="1:5" x14ac:dyDescent="0.35">
      <c r="A431" s="21" t="s">
        <v>625</v>
      </c>
      <c r="B431" s="9">
        <v>7</v>
      </c>
      <c r="C431" s="11">
        <v>95000</v>
      </c>
      <c r="D431" s="12">
        <v>7</v>
      </c>
      <c r="E431" s="13">
        <f>B431-D431</f>
        <v>0</v>
      </c>
    </row>
    <row r="432" spans="1:5" x14ac:dyDescent="0.35">
      <c r="A432" s="9" t="s">
        <v>627</v>
      </c>
      <c r="B432" s="9">
        <v>10</v>
      </c>
      <c r="C432" s="11">
        <v>95000</v>
      </c>
      <c r="D432" s="12">
        <v>4</v>
      </c>
      <c r="E432" s="13">
        <f>B432-D432</f>
        <v>6</v>
      </c>
    </row>
    <row r="433" spans="1:5" x14ac:dyDescent="0.35">
      <c r="A433" s="9" t="s">
        <v>627</v>
      </c>
      <c r="B433" s="9">
        <v>5</v>
      </c>
      <c r="C433" s="11">
        <v>90000</v>
      </c>
      <c r="D433" s="12">
        <v>5</v>
      </c>
      <c r="E433" s="13">
        <f>B433-D433</f>
        <v>0</v>
      </c>
    </row>
    <row r="434" spans="1:5" x14ac:dyDescent="0.35">
      <c r="A434" s="9" t="s">
        <v>629</v>
      </c>
      <c r="B434" s="9">
        <v>11</v>
      </c>
      <c r="C434" s="11">
        <v>85000</v>
      </c>
      <c r="D434" s="12">
        <v>9</v>
      </c>
      <c r="E434" s="13">
        <f>B434-D434</f>
        <v>2</v>
      </c>
    </row>
    <row r="435" spans="1:5" x14ac:dyDescent="0.35">
      <c r="A435" s="9" t="s">
        <v>629</v>
      </c>
      <c r="B435" s="9">
        <v>2</v>
      </c>
      <c r="C435" s="11">
        <v>85000</v>
      </c>
      <c r="D435" s="12">
        <v>2</v>
      </c>
      <c r="E435" s="13">
        <f>B435-D435</f>
        <v>0</v>
      </c>
    </row>
    <row r="436" spans="1:5" x14ac:dyDescent="0.35">
      <c r="A436" s="9" t="s">
        <v>631</v>
      </c>
      <c r="B436" s="9">
        <v>1</v>
      </c>
      <c r="C436" s="11">
        <v>80000</v>
      </c>
      <c r="D436" s="12"/>
      <c r="E436" s="13">
        <f>B436-D436</f>
        <v>1</v>
      </c>
    </row>
    <row r="437" spans="1:5" x14ac:dyDescent="0.35">
      <c r="A437" s="9" t="s">
        <v>632</v>
      </c>
      <c r="B437" s="9">
        <v>2</v>
      </c>
      <c r="C437" s="11">
        <v>80000</v>
      </c>
      <c r="D437" s="12">
        <v>1</v>
      </c>
      <c r="E437" s="13">
        <f>B437-D437</f>
        <v>1</v>
      </c>
    </row>
    <row r="438" spans="1:5" x14ac:dyDescent="0.35">
      <c r="A438" s="21" t="s">
        <v>633</v>
      </c>
      <c r="B438" s="21">
        <v>2</v>
      </c>
      <c r="C438" s="11">
        <v>82500</v>
      </c>
      <c r="D438" s="12">
        <v>2</v>
      </c>
      <c r="E438" s="13">
        <f>B438-D438</f>
        <v>0</v>
      </c>
    </row>
    <row r="439" spans="1:5" x14ac:dyDescent="0.35">
      <c r="A439" s="21" t="s">
        <v>635</v>
      </c>
      <c r="B439" s="21">
        <v>2</v>
      </c>
      <c r="C439" s="11">
        <v>82500</v>
      </c>
      <c r="D439" s="12">
        <v>2</v>
      </c>
      <c r="E439" s="13">
        <f>B439-D439</f>
        <v>0</v>
      </c>
    </row>
    <row r="440" spans="1:5" x14ac:dyDescent="0.35">
      <c r="A440" s="21" t="s">
        <v>635</v>
      </c>
      <c r="B440" s="21">
        <v>2</v>
      </c>
      <c r="C440" s="11">
        <v>85000</v>
      </c>
      <c r="D440" s="12">
        <v>2</v>
      </c>
      <c r="E440" s="13">
        <f>B440-D440</f>
        <v>0</v>
      </c>
    </row>
    <row r="441" spans="1:5" x14ac:dyDescent="0.35">
      <c r="A441" s="21" t="s">
        <v>638</v>
      </c>
      <c r="B441" s="21">
        <v>3</v>
      </c>
      <c r="C441" s="11">
        <v>85000</v>
      </c>
      <c r="D441" s="12"/>
      <c r="E441" s="13">
        <f>B441-D441</f>
        <v>3</v>
      </c>
    </row>
    <row r="442" spans="1:5" x14ac:dyDescent="0.35">
      <c r="A442" s="21" t="s">
        <v>638</v>
      </c>
      <c r="B442" s="21">
        <v>3</v>
      </c>
      <c r="C442" s="11">
        <v>85000</v>
      </c>
      <c r="D442" s="12">
        <v>3</v>
      </c>
      <c r="E442" s="13">
        <f>B442-D442</f>
        <v>0</v>
      </c>
    </row>
    <row r="443" spans="1:5" x14ac:dyDescent="0.35">
      <c r="A443" s="21" t="s">
        <v>640</v>
      </c>
      <c r="B443" s="21">
        <v>3</v>
      </c>
      <c r="C443" s="11">
        <v>157500</v>
      </c>
      <c r="D443" s="12">
        <v>1</v>
      </c>
      <c r="E443" s="13">
        <f>B443-D443</f>
        <v>2</v>
      </c>
    </row>
    <row r="444" spans="1:5" x14ac:dyDescent="0.35">
      <c r="A444" s="21" t="s">
        <v>641</v>
      </c>
      <c r="B444" s="21">
        <v>1</v>
      </c>
      <c r="C444" s="11">
        <v>180000</v>
      </c>
      <c r="D444" s="12">
        <v>1</v>
      </c>
      <c r="E444" s="13">
        <f>B444-D444</f>
        <v>0</v>
      </c>
    </row>
    <row r="445" spans="1:5" x14ac:dyDescent="0.35">
      <c r="A445" s="21" t="s">
        <v>643</v>
      </c>
      <c r="B445" s="21">
        <v>1</v>
      </c>
      <c r="C445" s="11">
        <v>80000</v>
      </c>
      <c r="D445" s="12">
        <v>1</v>
      </c>
      <c r="E445" s="13">
        <f>B445-D445</f>
        <v>0</v>
      </c>
    </row>
    <row r="446" spans="1:5" x14ac:dyDescent="0.35">
      <c r="A446" s="9" t="s">
        <v>645</v>
      </c>
      <c r="B446" s="9">
        <v>1</v>
      </c>
      <c r="C446" s="11">
        <v>80000</v>
      </c>
      <c r="D446" s="12">
        <v>1</v>
      </c>
      <c r="E446" s="13">
        <f>B446-D446</f>
        <v>0</v>
      </c>
    </row>
    <row r="447" spans="1:5" x14ac:dyDescent="0.35">
      <c r="A447" s="21" t="s">
        <v>647</v>
      </c>
      <c r="B447" s="21">
        <v>1</v>
      </c>
      <c r="C447" s="11">
        <v>82500</v>
      </c>
      <c r="D447" s="12">
        <v>1</v>
      </c>
      <c r="E447" s="13">
        <f>B447-D447</f>
        <v>0</v>
      </c>
    </row>
    <row r="448" spans="1:5" x14ac:dyDescent="0.35">
      <c r="A448" s="9" t="s">
        <v>647</v>
      </c>
      <c r="B448" s="9">
        <v>2</v>
      </c>
      <c r="C448" s="11">
        <v>80000</v>
      </c>
      <c r="D448" s="12">
        <v>1</v>
      </c>
      <c r="E448" s="13">
        <f>B448-D448</f>
        <v>1</v>
      </c>
    </row>
    <row r="449" spans="1:5" x14ac:dyDescent="0.35">
      <c r="A449" s="21" t="s">
        <v>649</v>
      </c>
      <c r="B449" s="9">
        <v>1</v>
      </c>
      <c r="C449" s="11">
        <v>85000</v>
      </c>
      <c r="D449" s="12">
        <v>1</v>
      </c>
      <c r="E449" s="13">
        <f>B449-D449</f>
        <v>0</v>
      </c>
    </row>
    <row r="450" spans="1:5" x14ac:dyDescent="0.35">
      <c r="A450" s="21" t="s">
        <v>651</v>
      </c>
      <c r="B450" s="9">
        <v>3</v>
      </c>
      <c r="C450" s="11">
        <v>80000</v>
      </c>
      <c r="D450" s="12">
        <v>2</v>
      </c>
      <c r="E450" s="13">
        <f>B450-D450</f>
        <v>1</v>
      </c>
    </row>
    <row r="451" spans="1:5" x14ac:dyDescent="0.35">
      <c r="A451" s="21" t="s">
        <v>651</v>
      </c>
      <c r="B451" s="9">
        <v>3</v>
      </c>
      <c r="C451" s="11">
        <v>76800</v>
      </c>
      <c r="D451" s="12">
        <v>1</v>
      </c>
      <c r="E451" s="13">
        <f>B451-D451</f>
        <v>2</v>
      </c>
    </row>
    <row r="452" spans="1:5" x14ac:dyDescent="0.35">
      <c r="A452" s="21" t="s">
        <v>652</v>
      </c>
      <c r="B452" s="9">
        <v>1</v>
      </c>
      <c r="C452" s="11">
        <v>72000</v>
      </c>
      <c r="D452" s="12">
        <v>1</v>
      </c>
      <c r="E452" s="13">
        <f>B452-D452</f>
        <v>0</v>
      </c>
    </row>
    <row r="453" spans="1:5" x14ac:dyDescent="0.35">
      <c r="A453" s="21" t="s">
        <v>652</v>
      </c>
      <c r="B453" s="21">
        <v>1</v>
      </c>
      <c r="C453" s="11">
        <v>75000</v>
      </c>
      <c r="D453" s="12">
        <v>1</v>
      </c>
      <c r="E453" s="13">
        <f>B453-D453</f>
        <v>0</v>
      </c>
    </row>
    <row r="454" spans="1:5" x14ac:dyDescent="0.35">
      <c r="A454" s="21" t="s">
        <v>655</v>
      </c>
      <c r="B454" s="14">
        <v>3</v>
      </c>
      <c r="C454" s="11">
        <v>25000</v>
      </c>
      <c r="D454" s="12"/>
      <c r="E454" s="13">
        <f>B454-D454</f>
        <v>3</v>
      </c>
    </row>
    <row r="455" spans="1:5" x14ac:dyDescent="0.35">
      <c r="A455" s="21" t="s">
        <v>656</v>
      </c>
      <c r="B455" s="14">
        <v>1</v>
      </c>
      <c r="C455" s="11">
        <v>25000</v>
      </c>
      <c r="D455" s="12">
        <v>1</v>
      </c>
      <c r="E455" s="13">
        <f>B455-D455</f>
        <v>0</v>
      </c>
    </row>
    <row r="456" spans="1:5" x14ac:dyDescent="0.35">
      <c r="A456" s="9" t="s">
        <v>658</v>
      </c>
      <c r="B456" s="9">
        <v>2</v>
      </c>
      <c r="C456" s="11">
        <v>110000</v>
      </c>
      <c r="D456" s="12"/>
      <c r="E456" s="13">
        <f>B456-D456</f>
        <v>2</v>
      </c>
    </row>
    <row r="457" spans="1:5" x14ac:dyDescent="0.35">
      <c r="A457" s="9" t="s">
        <v>659</v>
      </c>
      <c r="B457" s="9">
        <v>1</v>
      </c>
      <c r="C457" s="11">
        <v>90000</v>
      </c>
      <c r="D457" s="12">
        <v>1</v>
      </c>
      <c r="E457" s="13">
        <f>B457-D457</f>
        <v>0</v>
      </c>
    </row>
    <row r="458" spans="1:5" x14ac:dyDescent="0.35">
      <c r="A458" s="9" t="s">
        <v>661</v>
      </c>
      <c r="B458" s="32">
        <v>1</v>
      </c>
      <c r="C458" s="11">
        <v>84000</v>
      </c>
      <c r="D458" s="12">
        <v>1</v>
      </c>
      <c r="E458" s="13">
        <f>B458-D458</f>
        <v>0</v>
      </c>
    </row>
    <row r="459" spans="1:5" x14ac:dyDescent="0.35">
      <c r="A459" s="9" t="s">
        <v>663</v>
      </c>
      <c r="B459" s="32">
        <v>2</v>
      </c>
      <c r="C459" s="11">
        <v>35000</v>
      </c>
      <c r="D459" s="12">
        <v>1</v>
      </c>
      <c r="E459" s="13">
        <f>B459-D459</f>
        <v>1</v>
      </c>
    </row>
    <row r="460" spans="1:5" x14ac:dyDescent="0.35">
      <c r="A460" s="9" t="s">
        <v>663</v>
      </c>
      <c r="B460" s="9">
        <v>2</v>
      </c>
      <c r="C460" s="11">
        <v>45000</v>
      </c>
      <c r="D460" s="12">
        <v>1</v>
      </c>
      <c r="E460" s="13">
        <f>B460-D460</f>
        <v>1</v>
      </c>
    </row>
    <row r="461" spans="1:5" x14ac:dyDescent="0.35">
      <c r="A461" s="9" t="s">
        <v>664</v>
      </c>
      <c r="B461" s="21">
        <v>2</v>
      </c>
      <c r="C461" s="11">
        <v>45000</v>
      </c>
      <c r="D461" s="12">
        <v>1</v>
      </c>
      <c r="E461" s="13">
        <f>B461-D461</f>
        <v>1</v>
      </c>
    </row>
    <row r="462" spans="1:5" x14ac:dyDescent="0.35">
      <c r="A462" s="9" t="s">
        <v>666</v>
      </c>
      <c r="B462" s="9">
        <v>4</v>
      </c>
      <c r="C462" s="11">
        <v>9800</v>
      </c>
      <c r="D462" s="12"/>
      <c r="E462" s="13">
        <f>B462-D462</f>
        <v>4</v>
      </c>
    </row>
    <row r="463" spans="1:5" ht="43.5" x14ac:dyDescent="0.35">
      <c r="A463" s="10" t="s">
        <v>667</v>
      </c>
      <c r="B463" s="9">
        <v>2</v>
      </c>
      <c r="C463" s="11">
        <v>10400</v>
      </c>
      <c r="D463" s="12"/>
      <c r="E463" s="13">
        <f>B463-D463</f>
        <v>2</v>
      </c>
    </row>
    <row r="464" spans="1:5" x14ac:dyDescent="0.35">
      <c r="A464" s="42" t="s">
        <v>668</v>
      </c>
      <c r="B464" s="9">
        <v>6</v>
      </c>
      <c r="C464" s="15">
        <v>14000</v>
      </c>
      <c r="D464" s="12"/>
      <c r="E464" s="13">
        <f>B464-D464</f>
        <v>6</v>
      </c>
    </row>
    <row r="465" spans="1:5" x14ac:dyDescent="0.35">
      <c r="A465" s="9" t="s">
        <v>669</v>
      </c>
      <c r="B465" s="21">
        <v>20</v>
      </c>
      <c r="C465" s="11">
        <v>3000</v>
      </c>
      <c r="D465" s="12">
        <v>2</v>
      </c>
      <c r="E465" s="13">
        <f>B465-D465</f>
        <v>18</v>
      </c>
    </row>
    <row r="466" spans="1:5" x14ac:dyDescent="0.35">
      <c r="A466" s="9" t="s">
        <v>670</v>
      </c>
      <c r="B466" s="9">
        <v>3</v>
      </c>
      <c r="C466" s="11">
        <v>68000</v>
      </c>
      <c r="D466" s="12">
        <v>1</v>
      </c>
      <c r="E466" s="13">
        <f>B466-D466</f>
        <v>2</v>
      </c>
    </row>
    <row r="467" spans="1:5" x14ac:dyDescent="0.35">
      <c r="A467" s="9" t="s">
        <v>671</v>
      </c>
      <c r="B467" s="9">
        <v>1</v>
      </c>
      <c r="C467" s="11">
        <v>56000</v>
      </c>
      <c r="D467" s="12"/>
      <c r="E467" s="13">
        <f>B467-D467</f>
        <v>1</v>
      </c>
    </row>
    <row r="468" spans="1:5" x14ac:dyDescent="0.35">
      <c r="A468" s="9" t="s">
        <v>672</v>
      </c>
      <c r="B468" s="9">
        <v>10</v>
      </c>
      <c r="C468" s="11">
        <v>15000</v>
      </c>
      <c r="D468" s="12"/>
      <c r="E468" s="13">
        <f>B468-D468</f>
        <v>10</v>
      </c>
    </row>
    <row r="469" spans="1:5" x14ac:dyDescent="0.35">
      <c r="A469" s="9" t="s">
        <v>673</v>
      </c>
      <c r="B469" s="9">
        <v>2</v>
      </c>
      <c r="C469" s="11">
        <v>29000</v>
      </c>
      <c r="D469" s="12"/>
      <c r="E469" s="13">
        <f>B469-D469</f>
        <v>2</v>
      </c>
    </row>
    <row r="470" spans="1:5" x14ac:dyDescent="0.35">
      <c r="A470" s="9" t="s">
        <v>869</v>
      </c>
      <c r="B470" s="9">
        <v>2</v>
      </c>
      <c r="C470" s="11">
        <v>25000</v>
      </c>
      <c r="D470" s="12"/>
      <c r="E470" s="13">
        <f>B470-D470</f>
        <v>2</v>
      </c>
    </row>
    <row r="471" spans="1:5" x14ac:dyDescent="0.35">
      <c r="A471" s="9" t="s">
        <v>674</v>
      </c>
      <c r="B471" s="9">
        <v>1</v>
      </c>
      <c r="C471" s="11">
        <v>52000</v>
      </c>
      <c r="D471" s="12">
        <v>1</v>
      </c>
      <c r="E471" s="13">
        <f>B471-D471</f>
        <v>0</v>
      </c>
    </row>
    <row r="472" spans="1:5" x14ac:dyDescent="0.35">
      <c r="A472" s="9" t="s">
        <v>674</v>
      </c>
      <c r="B472" s="9">
        <v>1</v>
      </c>
      <c r="C472" s="11">
        <v>48000</v>
      </c>
      <c r="D472" s="12">
        <v>1</v>
      </c>
      <c r="E472" s="13">
        <f>B472-D472</f>
        <v>0</v>
      </c>
    </row>
    <row r="473" spans="1:5" x14ac:dyDescent="0.35">
      <c r="A473" s="9" t="s">
        <v>676</v>
      </c>
      <c r="B473" s="9">
        <v>1</v>
      </c>
      <c r="C473" s="11">
        <v>32000</v>
      </c>
      <c r="D473" s="12">
        <v>1</v>
      </c>
      <c r="E473" s="13">
        <f>B473-D473</f>
        <v>0</v>
      </c>
    </row>
    <row r="474" spans="1:5" x14ac:dyDescent="0.35">
      <c r="A474" s="9" t="s">
        <v>678</v>
      </c>
      <c r="B474" s="9">
        <v>10</v>
      </c>
      <c r="C474" s="11">
        <v>10000</v>
      </c>
      <c r="D474" s="12">
        <v>4</v>
      </c>
      <c r="E474" s="13">
        <f>B474-D474</f>
        <v>6</v>
      </c>
    </row>
    <row r="475" spans="1:5" x14ac:dyDescent="0.35">
      <c r="A475" s="9" t="s">
        <v>679</v>
      </c>
      <c r="B475" s="9">
        <v>10</v>
      </c>
      <c r="C475" s="11">
        <v>18000</v>
      </c>
      <c r="D475" s="12"/>
      <c r="E475" s="13">
        <f>B475-D475</f>
        <v>10</v>
      </c>
    </row>
    <row r="476" spans="1:5" x14ac:dyDescent="0.35">
      <c r="A476" s="9" t="s">
        <v>679</v>
      </c>
      <c r="B476" s="9">
        <v>1</v>
      </c>
      <c r="C476" s="11">
        <v>3625</v>
      </c>
      <c r="D476" s="12"/>
      <c r="E476" s="13">
        <f>B476-D476</f>
        <v>1</v>
      </c>
    </row>
    <row r="477" spans="1:5" x14ac:dyDescent="0.35">
      <c r="A477" s="9" t="s">
        <v>870</v>
      </c>
      <c r="B477" s="9">
        <v>5</v>
      </c>
      <c r="C477" s="11">
        <v>20000</v>
      </c>
      <c r="D477" s="12"/>
      <c r="E477" s="13">
        <f>B477-D477</f>
        <v>5</v>
      </c>
    </row>
    <row r="478" spans="1:5" x14ac:dyDescent="0.35">
      <c r="A478" s="49" t="s">
        <v>680</v>
      </c>
      <c r="B478" s="9">
        <v>5</v>
      </c>
      <c r="C478" s="11">
        <v>25000</v>
      </c>
      <c r="D478" s="12"/>
      <c r="E478" s="13">
        <f>B478-D478</f>
        <v>5</v>
      </c>
    </row>
    <row r="479" spans="1:5" x14ac:dyDescent="0.35">
      <c r="A479" s="49" t="s">
        <v>680</v>
      </c>
      <c r="B479" s="9">
        <v>1</v>
      </c>
      <c r="C479" s="11">
        <v>8000</v>
      </c>
      <c r="D479" s="12"/>
      <c r="E479" s="13">
        <f>B479-D479</f>
        <v>1</v>
      </c>
    </row>
    <row r="480" spans="1:5" x14ac:dyDescent="0.35">
      <c r="A480" s="9" t="s">
        <v>760</v>
      </c>
      <c r="B480" s="9">
        <v>5</v>
      </c>
      <c r="C480" s="11">
        <v>30000</v>
      </c>
      <c r="D480" s="12">
        <v>3</v>
      </c>
      <c r="E480" s="13">
        <f>B480-D480</f>
        <v>2</v>
      </c>
    </row>
    <row r="481" spans="1:5" x14ac:dyDescent="0.35">
      <c r="A481" s="9" t="s">
        <v>681</v>
      </c>
      <c r="B481" s="16">
        <v>3</v>
      </c>
      <c r="C481" s="11">
        <v>6270</v>
      </c>
      <c r="D481" s="12"/>
      <c r="E481" s="13">
        <f>B481-D481</f>
        <v>3</v>
      </c>
    </row>
    <row r="482" spans="1:5" x14ac:dyDescent="0.35">
      <c r="A482" s="9" t="s">
        <v>682</v>
      </c>
      <c r="B482" s="16">
        <v>3</v>
      </c>
      <c r="C482" s="11">
        <v>5168</v>
      </c>
      <c r="D482" s="12">
        <v>1</v>
      </c>
      <c r="E482" s="13">
        <f>B482-D482</f>
        <v>2</v>
      </c>
    </row>
    <row r="483" spans="1:5" x14ac:dyDescent="0.35">
      <c r="A483" s="9" t="s">
        <v>683</v>
      </c>
      <c r="B483" s="9">
        <v>2</v>
      </c>
      <c r="C483" s="11">
        <v>30000</v>
      </c>
      <c r="D483" s="12"/>
      <c r="E483" s="13">
        <f>B483-D483</f>
        <v>2</v>
      </c>
    </row>
    <row r="484" spans="1:5" x14ac:dyDescent="0.35">
      <c r="A484" s="9" t="s">
        <v>684</v>
      </c>
      <c r="B484" s="9">
        <v>2</v>
      </c>
      <c r="C484" s="11">
        <v>35000</v>
      </c>
      <c r="D484" s="12"/>
      <c r="E484" s="13">
        <f>B484-D484</f>
        <v>2</v>
      </c>
    </row>
    <row r="485" spans="1:5" x14ac:dyDescent="0.35">
      <c r="A485" s="9" t="s">
        <v>685</v>
      </c>
      <c r="B485" s="9">
        <v>4</v>
      </c>
      <c r="C485" s="11">
        <v>5400</v>
      </c>
      <c r="D485" s="12"/>
      <c r="E485" s="13">
        <f>B485-D485</f>
        <v>4</v>
      </c>
    </row>
    <row r="486" spans="1:5" x14ac:dyDescent="0.35">
      <c r="A486" s="9" t="s">
        <v>686</v>
      </c>
      <c r="B486" s="9">
        <v>8</v>
      </c>
      <c r="C486" s="11">
        <v>5000</v>
      </c>
      <c r="D486" s="12"/>
      <c r="E486" s="13">
        <f>B486-D486</f>
        <v>8</v>
      </c>
    </row>
    <row r="487" spans="1:5" x14ac:dyDescent="0.35">
      <c r="A487" s="9" t="s">
        <v>871</v>
      </c>
      <c r="B487" s="9">
        <v>12</v>
      </c>
      <c r="C487" s="11">
        <v>6000</v>
      </c>
      <c r="D487" s="12"/>
      <c r="E487" s="13">
        <f>B487-D487</f>
        <v>12</v>
      </c>
    </row>
    <row r="488" spans="1:5" x14ac:dyDescent="0.35">
      <c r="A488" s="9" t="s">
        <v>687</v>
      </c>
      <c r="B488" s="9">
        <v>4</v>
      </c>
      <c r="C488" s="11">
        <v>6000</v>
      </c>
      <c r="D488" s="12"/>
      <c r="E488" s="13">
        <f>B488-D488</f>
        <v>4</v>
      </c>
    </row>
    <row r="489" spans="1:5" x14ac:dyDescent="0.35">
      <c r="A489" s="9" t="s">
        <v>872</v>
      </c>
      <c r="B489" s="9">
        <v>12</v>
      </c>
      <c r="C489" s="11">
        <v>6000</v>
      </c>
      <c r="D489" s="12"/>
      <c r="E489" s="13">
        <f>B489-D489</f>
        <v>12</v>
      </c>
    </row>
    <row r="490" spans="1:5" x14ac:dyDescent="0.35">
      <c r="A490" s="9" t="s">
        <v>688</v>
      </c>
      <c r="B490" s="9">
        <v>4</v>
      </c>
      <c r="C490" s="11">
        <v>4600</v>
      </c>
      <c r="D490" s="12"/>
      <c r="E490" s="13">
        <f>B490-D490</f>
        <v>4</v>
      </c>
    </row>
    <row r="491" spans="1:5" x14ac:dyDescent="0.35">
      <c r="A491" s="21" t="s">
        <v>689</v>
      </c>
      <c r="B491" s="21">
        <v>1</v>
      </c>
      <c r="C491" s="11">
        <v>140000</v>
      </c>
      <c r="D491" s="12">
        <v>1</v>
      </c>
      <c r="E491" s="13">
        <f>B491-D491</f>
        <v>0</v>
      </c>
    </row>
    <row r="492" spans="1:5" x14ac:dyDescent="0.35">
      <c r="A492" s="9" t="s">
        <v>873</v>
      </c>
      <c r="B492" s="21">
        <v>2</v>
      </c>
      <c r="C492" s="11">
        <v>150000</v>
      </c>
      <c r="D492" s="12"/>
      <c r="E492" s="13">
        <f>B492-D492</f>
        <v>2</v>
      </c>
    </row>
    <row r="493" spans="1:5" x14ac:dyDescent="0.35">
      <c r="A493" s="9" t="s">
        <v>691</v>
      </c>
      <c r="B493" s="9">
        <v>1</v>
      </c>
      <c r="C493" s="11">
        <v>175000</v>
      </c>
      <c r="D493" s="12">
        <v>1</v>
      </c>
      <c r="E493" s="13">
        <f>B493-D493</f>
        <v>0</v>
      </c>
    </row>
    <row r="494" spans="1:5" x14ac:dyDescent="0.35">
      <c r="A494" s="9" t="s">
        <v>693</v>
      </c>
      <c r="B494" s="9">
        <v>1</v>
      </c>
      <c r="C494" s="11">
        <v>140000</v>
      </c>
      <c r="D494" s="12"/>
      <c r="E494" s="13">
        <f>B494-D494</f>
        <v>1</v>
      </c>
    </row>
    <row r="495" spans="1:5" x14ac:dyDescent="0.35">
      <c r="A495" s="10" t="s">
        <v>694</v>
      </c>
      <c r="B495" s="21">
        <v>1</v>
      </c>
      <c r="C495" s="11">
        <v>160000</v>
      </c>
      <c r="D495" s="12"/>
      <c r="E495" s="13">
        <f>B495-D495</f>
        <v>1</v>
      </c>
    </row>
    <row r="496" spans="1:5" x14ac:dyDescent="0.35">
      <c r="A496" s="10" t="s">
        <v>695</v>
      </c>
      <c r="B496" s="21">
        <v>1</v>
      </c>
      <c r="C496" s="11">
        <v>130000</v>
      </c>
      <c r="D496" s="12"/>
      <c r="E496" s="13">
        <f>B496-D496</f>
        <v>1</v>
      </c>
    </row>
    <row r="497" spans="1:5" x14ac:dyDescent="0.35">
      <c r="A497" s="9" t="s">
        <v>874</v>
      </c>
      <c r="B497" s="9">
        <v>4</v>
      </c>
      <c r="C497" s="11">
        <v>210000</v>
      </c>
      <c r="D497" s="12">
        <v>2</v>
      </c>
      <c r="E497" s="13">
        <f>B497-D497</f>
        <v>2</v>
      </c>
    </row>
    <row r="498" spans="1:5" x14ac:dyDescent="0.35">
      <c r="A498" s="9" t="s">
        <v>875</v>
      </c>
      <c r="B498" s="9">
        <v>2</v>
      </c>
      <c r="C498" s="11">
        <v>190000</v>
      </c>
      <c r="D498" s="12"/>
      <c r="E498" s="13">
        <f>B498-D498</f>
        <v>2</v>
      </c>
    </row>
    <row r="499" spans="1:5" x14ac:dyDescent="0.35">
      <c r="A499" s="9" t="s">
        <v>876</v>
      </c>
      <c r="B499" s="9">
        <v>4</v>
      </c>
      <c r="C499" s="11">
        <v>190000</v>
      </c>
      <c r="D499" s="12">
        <v>3</v>
      </c>
      <c r="E499" s="13">
        <f>B499-D499</f>
        <v>1</v>
      </c>
    </row>
    <row r="500" spans="1:5" x14ac:dyDescent="0.35">
      <c r="A500" s="9" t="s">
        <v>877</v>
      </c>
      <c r="B500" s="9">
        <v>1</v>
      </c>
      <c r="C500" s="11">
        <v>700000</v>
      </c>
      <c r="D500" s="12"/>
      <c r="E500" s="13">
        <f>B500-D500</f>
        <v>1</v>
      </c>
    </row>
    <row r="501" spans="1:5" x14ac:dyDescent="0.35">
      <c r="A501" s="9" t="s">
        <v>696</v>
      </c>
      <c r="B501" s="9">
        <v>2</v>
      </c>
      <c r="C501" s="11">
        <v>180000</v>
      </c>
      <c r="D501" s="12">
        <v>2</v>
      </c>
      <c r="E501" s="13">
        <f>B501-D501</f>
        <v>0</v>
      </c>
    </row>
    <row r="502" spans="1:5" x14ac:dyDescent="0.35">
      <c r="A502" s="18" t="s">
        <v>113</v>
      </c>
      <c r="B502" s="21">
        <v>3</v>
      </c>
      <c r="C502" s="11">
        <v>190000</v>
      </c>
      <c r="D502" s="12">
        <v>2</v>
      </c>
      <c r="E502" s="13">
        <f>B502-D502</f>
        <v>1</v>
      </c>
    </row>
    <row r="503" spans="1:5" x14ac:dyDescent="0.35">
      <c r="A503" s="9" t="s">
        <v>878</v>
      </c>
      <c r="B503" s="9">
        <v>100</v>
      </c>
      <c r="C503" s="11">
        <v>3000</v>
      </c>
      <c r="D503" s="12"/>
      <c r="E503" s="13">
        <f>B503-D503</f>
        <v>100</v>
      </c>
    </row>
    <row r="504" spans="1:5" x14ac:dyDescent="0.35">
      <c r="A504" s="9" t="s">
        <v>697</v>
      </c>
      <c r="B504" s="14">
        <v>2</v>
      </c>
      <c r="C504" s="11">
        <v>2835</v>
      </c>
      <c r="D504" s="12"/>
      <c r="E504" s="13">
        <f>B504-D504</f>
        <v>2</v>
      </c>
    </row>
    <row r="505" spans="1:5" x14ac:dyDescent="0.35">
      <c r="A505" s="9" t="s">
        <v>698</v>
      </c>
      <c r="B505" s="14">
        <v>180</v>
      </c>
      <c r="C505" s="11">
        <v>1000</v>
      </c>
      <c r="D505" s="12">
        <v>80</v>
      </c>
      <c r="E505" s="13">
        <f>B505-D505</f>
        <v>100</v>
      </c>
    </row>
    <row r="506" spans="1:5" x14ac:dyDescent="0.35">
      <c r="A506" s="9" t="s">
        <v>699</v>
      </c>
      <c r="B506" s="14">
        <v>10</v>
      </c>
      <c r="C506" s="11">
        <v>4000</v>
      </c>
      <c r="D506" s="12">
        <v>1</v>
      </c>
      <c r="E506" s="13">
        <f>B506-D506</f>
        <v>9</v>
      </c>
    </row>
    <row r="507" spans="1:5" x14ac:dyDescent="0.35">
      <c r="A507" s="9" t="s">
        <v>116</v>
      </c>
      <c r="B507" s="14">
        <v>2</v>
      </c>
      <c r="C507" s="11">
        <v>34200</v>
      </c>
      <c r="D507" s="12">
        <v>2</v>
      </c>
      <c r="E507" s="13">
        <f>B507-D507</f>
        <v>0</v>
      </c>
    </row>
    <row r="508" spans="1:5" x14ac:dyDescent="0.35">
      <c r="A508" s="10" t="s">
        <v>701</v>
      </c>
      <c r="B508" s="21">
        <v>3</v>
      </c>
      <c r="C508" s="11">
        <v>7000</v>
      </c>
      <c r="D508" s="12"/>
      <c r="E508" s="13">
        <f>B508-D508</f>
        <v>3</v>
      </c>
    </row>
    <row r="509" spans="1:5" ht="29" x14ac:dyDescent="0.35">
      <c r="A509" s="10" t="s">
        <v>702</v>
      </c>
      <c r="B509" s="21">
        <v>20</v>
      </c>
      <c r="C509" s="11">
        <v>9000</v>
      </c>
      <c r="D509" s="12"/>
      <c r="E509" s="13">
        <f>B509-D509</f>
        <v>20</v>
      </c>
    </row>
    <row r="510" spans="1:5" x14ac:dyDescent="0.35">
      <c r="A510" s="9" t="s">
        <v>703</v>
      </c>
      <c r="B510" s="14">
        <v>1</v>
      </c>
      <c r="C510" s="11">
        <v>203750</v>
      </c>
      <c r="D510" s="12">
        <v>1</v>
      </c>
      <c r="E510" s="13">
        <f>B510-D510</f>
        <v>0</v>
      </c>
    </row>
    <row r="511" spans="1:5" x14ac:dyDescent="0.35">
      <c r="A511" s="9" t="s">
        <v>704</v>
      </c>
      <c r="B511" s="14">
        <v>1</v>
      </c>
      <c r="C511" s="11">
        <v>182560</v>
      </c>
      <c r="D511" s="12">
        <v>1</v>
      </c>
      <c r="E511" s="13">
        <f>B511-D511</f>
        <v>0</v>
      </c>
    </row>
    <row r="512" spans="1:5" x14ac:dyDescent="0.35">
      <c r="A512" s="9" t="s">
        <v>879</v>
      </c>
      <c r="B512" s="14">
        <v>2</v>
      </c>
      <c r="C512" s="11">
        <v>90000</v>
      </c>
      <c r="D512" s="12"/>
      <c r="E512" s="13">
        <f>B512-D512</f>
        <v>2</v>
      </c>
    </row>
    <row r="513" spans="1:5" x14ac:dyDescent="0.35">
      <c r="A513" s="9" t="s">
        <v>880</v>
      </c>
      <c r="B513" s="14">
        <v>2</v>
      </c>
      <c r="C513" s="11">
        <v>90000</v>
      </c>
      <c r="D513" s="12"/>
      <c r="E513" s="13">
        <f>B513-D513</f>
        <v>2</v>
      </c>
    </row>
    <row r="514" spans="1:5" x14ac:dyDescent="0.35">
      <c r="A514" s="10" t="s">
        <v>705</v>
      </c>
      <c r="B514" s="21">
        <v>2</v>
      </c>
      <c r="C514" s="11">
        <v>90000</v>
      </c>
      <c r="D514" s="12">
        <v>1</v>
      </c>
      <c r="E514" s="13">
        <f>B514-D514</f>
        <v>1</v>
      </c>
    </row>
    <row r="515" spans="1:5" x14ac:dyDescent="0.35">
      <c r="A515" s="9" t="s">
        <v>706</v>
      </c>
      <c r="B515" s="16">
        <v>1</v>
      </c>
      <c r="C515" s="11">
        <v>164849.8425</v>
      </c>
      <c r="D515" s="12">
        <v>1</v>
      </c>
      <c r="E515" s="13">
        <f>B515-D515</f>
        <v>0</v>
      </c>
    </row>
    <row r="516" spans="1:5" x14ac:dyDescent="0.35">
      <c r="A516" s="10" t="s">
        <v>881</v>
      </c>
      <c r="B516" s="21">
        <v>1</v>
      </c>
      <c r="C516" s="11">
        <v>62000</v>
      </c>
      <c r="D516" s="12"/>
      <c r="E516" s="13">
        <f>B516-D516</f>
        <v>1</v>
      </c>
    </row>
    <row r="517" spans="1:5" x14ac:dyDescent="0.35">
      <c r="A517" s="9" t="s">
        <v>708</v>
      </c>
      <c r="B517" s="9">
        <v>10</v>
      </c>
      <c r="C517" s="11">
        <v>9350</v>
      </c>
      <c r="D517" s="12">
        <v>1</v>
      </c>
      <c r="E517" s="13">
        <f>B517-D517</f>
        <v>9</v>
      </c>
    </row>
    <row r="518" spans="1:5" x14ac:dyDescent="0.35">
      <c r="A518" s="9" t="s">
        <v>709</v>
      </c>
      <c r="B518" s="9">
        <v>100</v>
      </c>
      <c r="C518" s="11">
        <v>4000</v>
      </c>
      <c r="D518" s="12">
        <v>24</v>
      </c>
      <c r="E518" s="13">
        <f>B518-D518</f>
        <v>76</v>
      </c>
    </row>
    <row r="519" spans="1:5" x14ac:dyDescent="0.35">
      <c r="A519" s="9" t="s">
        <v>882</v>
      </c>
      <c r="B519" s="9">
        <v>50</v>
      </c>
      <c r="C519" s="11">
        <v>4000</v>
      </c>
      <c r="D519" s="12"/>
      <c r="E519" s="13">
        <f>B519-D519</f>
        <v>50</v>
      </c>
    </row>
    <row r="520" spans="1:5" x14ac:dyDescent="0.35">
      <c r="A520" s="9" t="s">
        <v>710</v>
      </c>
      <c r="B520" s="9">
        <v>2</v>
      </c>
      <c r="C520" s="11">
        <v>40000</v>
      </c>
      <c r="D520" s="12"/>
      <c r="E520" s="13">
        <f>B520-D520</f>
        <v>2</v>
      </c>
    </row>
    <row r="521" spans="1:5" x14ac:dyDescent="0.35">
      <c r="A521" s="21" t="s">
        <v>711</v>
      </c>
      <c r="B521" s="16">
        <v>12</v>
      </c>
      <c r="C521" s="11">
        <v>4000</v>
      </c>
      <c r="D521" s="12">
        <v>2</v>
      </c>
      <c r="E521" s="13">
        <f>B521-D521</f>
        <v>10</v>
      </c>
    </row>
    <row r="522" spans="1:5" x14ac:dyDescent="0.35">
      <c r="A522" s="21" t="s">
        <v>712</v>
      </c>
      <c r="B522" s="16">
        <v>12</v>
      </c>
      <c r="C522" s="11">
        <v>4000</v>
      </c>
      <c r="D522" s="12">
        <v>12</v>
      </c>
      <c r="E522" s="13">
        <f>B522-D522</f>
        <v>0</v>
      </c>
    </row>
    <row r="523" spans="1:5" ht="29" x14ac:dyDescent="0.35">
      <c r="A523" s="10" t="s">
        <v>714</v>
      </c>
      <c r="B523" s="9">
        <v>40</v>
      </c>
      <c r="C523" s="15">
        <v>15000</v>
      </c>
      <c r="D523" s="12">
        <v>20</v>
      </c>
      <c r="E523" s="13">
        <f>B523-D523</f>
        <v>20</v>
      </c>
    </row>
    <row r="524" spans="1:5" x14ac:dyDescent="0.35">
      <c r="A524" s="9" t="s">
        <v>715</v>
      </c>
      <c r="B524" s="9">
        <v>2</v>
      </c>
      <c r="C524" s="11">
        <v>50000</v>
      </c>
      <c r="D524" s="12"/>
      <c r="E524" s="13">
        <f>B524-D524</f>
        <v>2</v>
      </c>
    </row>
    <row r="525" spans="1:5" x14ac:dyDescent="0.35">
      <c r="A525" s="9" t="s">
        <v>716</v>
      </c>
      <c r="B525" s="9">
        <v>1</v>
      </c>
      <c r="C525" s="11">
        <v>60000</v>
      </c>
      <c r="D525" s="12"/>
      <c r="E525" s="13">
        <f>B525-D525</f>
        <v>1</v>
      </c>
    </row>
    <row r="526" spans="1:5" x14ac:dyDescent="0.35">
      <c r="A526" s="9" t="s">
        <v>717</v>
      </c>
      <c r="B526" s="9">
        <v>10</v>
      </c>
      <c r="C526" s="11">
        <v>10000</v>
      </c>
      <c r="D526" s="12"/>
      <c r="E526" s="13">
        <f>B526-D526</f>
        <v>10</v>
      </c>
    </row>
    <row r="527" spans="1:5" x14ac:dyDescent="0.35">
      <c r="A527" s="9" t="s">
        <v>718</v>
      </c>
      <c r="B527" s="9">
        <v>4</v>
      </c>
      <c r="C527" s="11">
        <v>10000</v>
      </c>
      <c r="D527" s="12"/>
      <c r="E527" s="13">
        <f>B527-D527</f>
        <v>4</v>
      </c>
    </row>
    <row r="528" spans="1:5" x14ac:dyDescent="0.35">
      <c r="A528" s="9" t="s">
        <v>883</v>
      </c>
      <c r="B528" s="9">
        <v>5</v>
      </c>
      <c r="C528" s="11">
        <v>7000</v>
      </c>
      <c r="D528" s="12">
        <v>1</v>
      </c>
      <c r="E528" s="13">
        <f>B528-D528</f>
        <v>4</v>
      </c>
    </row>
    <row r="529" spans="1:5" x14ac:dyDescent="0.35">
      <c r="A529" s="9" t="s">
        <v>884</v>
      </c>
      <c r="B529" s="9">
        <v>5</v>
      </c>
      <c r="C529" s="11">
        <v>7000</v>
      </c>
      <c r="D529" s="12"/>
      <c r="E529" s="13">
        <f>B529-D529</f>
        <v>5</v>
      </c>
    </row>
    <row r="530" spans="1:5" x14ac:dyDescent="0.35">
      <c r="A530" s="9" t="s">
        <v>719</v>
      </c>
      <c r="B530" s="9">
        <v>16</v>
      </c>
      <c r="C530" s="15">
        <v>12000</v>
      </c>
      <c r="D530" s="12">
        <v>7</v>
      </c>
      <c r="E530" s="13">
        <f>B530-D530</f>
        <v>9</v>
      </c>
    </row>
    <row r="531" spans="1:5" x14ac:dyDescent="0.35">
      <c r="A531" s="9" t="s">
        <v>720</v>
      </c>
      <c r="B531" s="9">
        <v>10</v>
      </c>
      <c r="C531" s="11">
        <v>8000</v>
      </c>
      <c r="D531" s="12"/>
      <c r="E531" s="13">
        <f>B531-D531</f>
        <v>10</v>
      </c>
    </row>
    <row r="532" spans="1:5" x14ac:dyDescent="0.35">
      <c r="A532" s="9" t="s">
        <v>721</v>
      </c>
      <c r="B532" s="9">
        <v>10</v>
      </c>
      <c r="C532" s="11">
        <v>6000</v>
      </c>
      <c r="D532" s="12"/>
      <c r="E532" s="13">
        <f>B532-D532</f>
        <v>10</v>
      </c>
    </row>
    <row r="533" spans="1:5" x14ac:dyDescent="0.35">
      <c r="A533" s="9" t="s">
        <v>722</v>
      </c>
      <c r="B533" s="9">
        <v>10</v>
      </c>
      <c r="C533" s="11">
        <v>6000</v>
      </c>
      <c r="D533" s="12"/>
      <c r="E533" s="13">
        <f>B533-D533</f>
        <v>10</v>
      </c>
    </row>
    <row r="534" spans="1:5" x14ac:dyDescent="0.35">
      <c r="A534" s="9" t="s">
        <v>723</v>
      </c>
      <c r="B534" s="9">
        <v>10</v>
      </c>
      <c r="C534" s="11">
        <v>6000</v>
      </c>
      <c r="D534" s="12"/>
      <c r="E534" s="13">
        <f>B534-D534</f>
        <v>10</v>
      </c>
    </row>
    <row r="535" spans="1:5" x14ac:dyDescent="0.35">
      <c r="A535" s="9" t="s">
        <v>724</v>
      </c>
      <c r="B535" s="9">
        <v>10</v>
      </c>
      <c r="C535" s="11">
        <v>6000</v>
      </c>
      <c r="D535" s="12">
        <v>1</v>
      </c>
      <c r="E535" s="13">
        <f>B535-D535</f>
        <v>9</v>
      </c>
    </row>
    <row r="536" spans="1:5" x14ac:dyDescent="0.35">
      <c r="A536" s="18" t="s">
        <v>725</v>
      </c>
      <c r="B536" s="9">
        <v>10</v>
      </c>
      <c r="C536" s="11">
        <v>11000</v>
      </c>
      <c r="D536" s="12"/>
      <c r="E536" s="13">
        <f>B536-D536</f>
        <v>10</v>
      </c>
    </row>
    <row r="537" spans="1:5" x14ac:dyDescent="0.35">
      <c r="A537" s="9" t="s">
        <v>726</v>
      </c>
      <c r="B537" s="9">
        <v>10</v>
      </c>
      <c r="C537" s="11">
        <v>6000</v>
      </c>
      <c r="D537" s="12"/>
      <c r="E537" s="13">
        <f>B537-D537</f>
        <v>10</v>
      </c>
    </row>
    <row r="538" spans="1:5" x14ac:dyDescent="0.35">
      <c r="A538" s="9" t="s">
        <v>727</v>
      </c>
      <c r="B538" s="9">
        <v>3</v>
      </c>
      <c r="C538" s="11">
        <v>3200</v>
      </c>
      <c r="D538" s="12"/>
      <c r="E538" s="13">
        <f>B538-D538</f>
        <v>3</v>
      </c>
    </row>
    <row r="539" spans="1:5" x14ac:dyDescent="0.35">
      <c r="A539" s="9" t="s">
        <v>728</v>
      </c>
      <c r="B539" s="9">
        <v>3</v>
      </c>
      <c r="C539" s="11">
        <v>3200</v>
      </c>
      <c r="D539" s="12"/>
      <c r="E539" s="13">
        <f>B539-D539</f>
        <v>3</v>
      </c>
    </row>
    <row r="540" spans="1:5" x14ac:dyDescent="0.35">
      <c r="A540" s="9" t="s">
        <v>729</v>
      </c>
      <c r="B540" s="9">
        <v>2</v>
      </c>
      <c r="C540" s="11">
        <v>3600</v>
      </c>
      <c r="D540" s="12"/>
      <c r="E540" s="13">
        <f>B540-D540</f>
        <v>2</v>
      </c>
    </row>
    <row r="541" spans="1:5" x14ac:dyDescent="0.35">
      <c r="A541" s="9" t="s">
        <v>730</v>
      </c>
      <c r="B541" s="9">
        <v>8</v>
      </c>
      <c r="C541" s="11">
        <v>5220</v>
      </c>
      <c r="D541" s="12"/>
      <c r="E541" s="13">
        <f>B541-D541</f>
        <v>8</v>
      </c>
    </row>
    <row r="542" spans="1:5" x14ac:dyDescent="0.35">
      <c r="A542" s="9" t="s">
        <v>731</v>
      </c>
      <c r="B542" s="9">
        <v>2</v>
      </c>
      <c r="C542" s="11">
        <v>5220</v>
      </c>
      <c r="D542" s="12"/>
      <c r="E542" s="13">
        <f>B542-D542</f>
        <v>2</v>
      </c>
    </row>
    <row r="543" spans="1:5" x14ac:dyDescent="0.35">
      <c r="A543" s="9" t="s">
        <v>732</v>
      </c>
      <c r="B543" s="9">
        <v>6</v>
      </c>
      <c r="C543" s="11">
        <v>5220</v>
      </c>
      <c r="D543" s="12"/>
      <c r="E543" s="13">
        <f>B543-D543</f>
        <v>6</v>
      </c>
    </row>
    <row r="544" spans="1:5" x14ac:dyDescent="0.35">
      <c r="A544" s="9" t="s">
        <v>733</v>
      </c>
      <c r="B544" s="9">
        <v>10</v>
      </c>
      <c r="C544" s="11">
        <v>5220</v>
      </c>
      <c r="D544" s="12">
        <v>2</v>
      </c>
      <c r="E544" s="13">
        <f>B544-D544</f>
        <v>8</v>
      </c>
    </row>
    <row r="545" spans="1:5" x14ac:dyDescent="0.35">
      <c r="A545" s="9" t="s">
        <v>735</v>
      </c>
      <c r="B545" s="9">
        <v>8</v>
      </c>
      <c r="C545" s="11">
        <v>5220</v>
      </c>
      <c r="D545" s="12"/>
      <c r="E545" s="13">
        <f>B545-D545</f>
        <v>8</v>
      </c>
    </row>
    <row r="546" spans="1:5" x14ac:dyDescent="0.35">
      <c r="A546" s="10" t="s">
        <v>736</v>
      </c>
      <c r="B546" s="21">
        <v>50</v>
      </c>
      <c r="C546" s="11">
        <v>2000</v>
      </c>
      <c r="D546" s="12">
        <v>28</v>
      </c>
      <c r="E546" s="13">
        <f>B546-D546</f>
        <v>22</v>
      </c>
    </row>
    <row r="547" spans="1:5" x14ac:dyDescent="0.35">
      <c r="A547" s="9" t="s">
        <v>737</v>
      </c>
      <c r="B547" s="21">
        <v>3</v>
      </c>
      <c r="C547" s="11">
        <v>80000</v>
      </c>
      <c r="D547" s="12"/>
      <c r="E547" s="13">
        <f>B547-D547</f>
        <v>3</v>
      </c>
    </row>
    <row r="548" spans="1:5" x14ac:dyDescent="0.35">
      <c r="A548" s="9" t="s">
        <v>738</v>
      </c>
      <c r="B548" s="9">
        <v>1</v>
      </c>
      <c r="C548" s="11">
        <v>74100</v>
      </c>
      <c r="D548" s="12"/>
      <c r="E548" s="13">
        <f>B548-D548</f>
        <v>1</v>
      </c>
    </row>
    <row r="549" spans="1:5" x14ac:dyDescent="0.35">
      <c r="A549" s="9" t="s">
        <v>738</v>
      </c>
      <c r="B549" s="9">
        <v>2</v>
      </c>
      <c r="C549" s="11">
        <v>85000</v>
      </c>
      <c r="D549" s="12"/>
      <c r="E549" s="13">
        <f>B549-D549</f>
        <v>2</v>
      </c>
    </row>
    <row r="550" spans="1:5" x14ac:dyDescent="0.35">
      <c r="A550" s="9" t="s">
        <v>739</v>
      </c>
      <c r="B550" s="9">
        <v>1</v>
      </c>
      <c r="C550" s="11">
        <v>75000</v>
      </c>
      <c r="D550" s="12"/>
      <c r="E550" s="13">
        <f>B550-D550</f>
        <v>1</v>
      </c>
    </row>
    <row r="551" spans="1:5" x14ac:dyDescent="0.35">
      <c r="A551" s="10" t="s">
        <v>740</v>
      </c>
      <c r="B551" s="9">
        <v>1</v>
      </c>
      <c r="C551" s="11">
        <v>24000</v>
      </c>
      <c r="D551" s="12"/>
      <c r="E551" s="13">
        <f>B551-D551</f>
        <v>1</v>
      </c>
    </row>
    <row r="552" spans="1:5" x14ac:dyDescent="0.35">
      <c r="A552" s="9" t="s">
        <v>741</v>
      </c>
      <c r="B552" s="21">
        <v>2</v>
      </c>
      <c r="C552" s="11">
        <v>120000</v>
      </c>
      <c r="D552" s="12">
        <v>1</v>
      </c>
      <c r="E552" s="13">
        <f>B552-D552</f>
        <v>1</v>
      </c>
    </row>
    <row r="553" spans="1:5" x14ac:dyDescent="0.35">
      <c r="A553" s="9" t="s">
        <v>742</v>
      </c>
      <c r="B553" s="9">
        <v>2</v>
      </c>
      <c r="C553" s="11">
        <v>130000</v>
      </c>
      <c r="D553" s="12"/>
      <c r="E553" s="13">
        <f>B553-D553</f>
        <v>2</v>
      </c>
    </row>
    <row r="554" spans="1:5" x14ac:dyDescent="0.35">
      <c r="A554" s="9" t="s">
        <v>885</v>
      </c>
      <c r="B554" s="9">
        <v>3</v>
      </c>
      <c r="C554" s="11">
        <v>120000</v>
      </c>
      <c r="D554" s="12"/>
      <c r="E554" s="13">
        <f>B554-D554</f>
        <v>3</v>
      </c>
    </row>
    <row r="555" spans="1:5" x14ac:dyDescent="0.35">
      <c r="A555" s="9" t="s">
        <v>743</v>
      </c>
      <c r="B555" s="9">
        <v>1</v>
      </c>
      <c r="C555" s="11">
        <v>100000</v>
      </c>
      <c r="D555" s="12">
        <v>1</v>
      </c>
      <c r="E555" s="13">
        <f>B555-D555</f>
        <v>0</v>
      </c>
    </row>
    <row r="556" spans="1:5" x14ac:dyDescent="0.35">
      <c r="A556" s="9" t="s">
        <v>886</v>
      </c>
      <c r="B556" s="21">
        <v>1</v>
      </c>
      <c r="C556" s="11">
        <v>235000</v>
      </c>
      <c r="D556" s="12"/>
      <c r="E556" s="13">
        <f>B556-D556</f>
        <v>1</v>
      </c>
    </row>
    <row r="557" spans="1:5" x14ac:dyDescent="0.35">
      <c r="A557" s="9" t="s">
        <v>745</v>
      </c>
      <c r="B557" s="21">
        <v>1</v>
      </c>
      <c r="C557" s="11">
        <v>130000</v>
      </c>
      <c r="D557" s="12"/>
      <c r="E557" s="13">
        <f>B557-D557</f>
        <v>1</v>
      </c>
    </row>
    <row r="558" spans="1:5" x14ac:dyDescent="0.35">
      <c r="A558" s="19" t="s">
        <v>746</v>
      </c>
      <c r="B558" s="19">
        <v>2</v>
      </c>
      <c r="C558" s="30">
        <v>230000</v>
      </c>
      <c r="D558" s="31"/>
      <c r="E558" s="47">
        <f>B558-D558</f>
        <v>2</v>
      </c>
    </row>
    <row r="559" spans="1:5" ht="29" x14ac:dyDescent="0.35">
      <c r="A559" s="10" t="s">
        <v>747</v>
      </c>
      <c r="B559" s="21">
        <v>8</v>
      </c>
      <c r="C559" s="11">
        <v>6500</v>
      </c>
      <c r="D559" s="12"/>
      <c r="E559" s="47">
        <f>B559-D559</f>
        <v>8</v>
      </c>
    </row>
    <row r="560" spans="1:5" x14ac:dyDescent="0.35">
      <c r="A560" s="9" t="s">
        <v>887</v>
      </c>
      <c r="B560" s="9">
        <v>8</v>
      </c>
      <c r="C560" s="11">
        <v>15000</v>
      </c>
      <c r="D560" s="12"/>
      <c r="E560" s="47">
        <f>B560-D560</f>
        <v>8</v>
      </c>
    </row>
    <row r="561" spans="1:5" x14ac:dyDescent="0.35">
      <c r="A561" s="9" t="s">
        <v>888</v>
      </c>
      <c r="B561" s="9">
        <v>10</v>
      </c>
      <c r="C561" s="11">
        <v>30000</v>
      </c>
      <c r="D561" s="12"/>
      <c r="E561" s="47">
        <f>B561-D561</f>
        <v>10</v>
      </c>
    </row>
    <row r="562" spans="1:5" x14ac:dyDescent="0.35">
      <c r="A562" s="9" t="s">
        <v>748</v>
      </c>
      <c r="B562" s="9">
        <v>6</v>
      </c>
      <c r="C562" s="11">
        <v>18000</v>
      </c>
      <c r="D562" s="12">
        <v>5</v>
      </c>
      <c r="E562" s="47">
        <f>B562-D562</f>
        <v>1</v>
      </c>
    </row>
    <row r="563" spans="1:5" x14ac:dyDescent="0.35">
      <c r="A563" s="9" t="s">
        <v>748</v>
      </c>
      <c r="B563" s="21">
        <v>4</v>
      </c>
      <c r="C563" s="11">
        <v>20000</v>
      </c>
      <c r="D563" s="12"/>
      <c r="E563" s="47">
        <f>B563-D563</f>
        <v>4</v>
      </c>
    </row>
    <row r="564" spans="1:5" x14ac:dyDescent="0.35">
      <c r="A564" s="9" t="s">
        <v>749</v>
      </c>
      <c r="B564" s="9">
        <v>6</v>
      </c>
      <c r="C564" s="11">
        <v>12000</v>
      </c>
      <c r="D564" s="12"/>
      <c r="E564" s="47">
        <f>B564-D564</f>
        <v>6</v>
      </c>
    </row>
    <row r="565" spans="1:5" ht="29" x14ac:dyDescent="0.35">
      <c r="A565" s="67" t="s">
        <v>750</v>
      </c>
      <c r="B565" s="19">
        <v>3</v>
      </c>
      <c r="C565" s="66">
        <v>12000</v>
      </c>
      <c r="D565" s="31"/>
      <c r="E565" s="47">
        <f>B565-D565</f>
        <v>3</v>
      </c>
    </row>
    <row r="566" spans="1:5" x14ac:dyDescent="0.35">
      <c r="A566" s="9" t="s">
        <v>751</v>
      </c>
      <c r="B566" s="9">
        <v>4</v>
      </c>
      <c r="C566" s="11">
        <v>14000</v>
      </c>
      <c r="D566" s="12"/>
      <c r="E566" s="13">
        <f>B566-D566</f>
        <v>4</v>
      </c>
    </row>
    <row r="567" spans="1:5" x14ac:dyDescent="0.35">
      <c r="A567" s="10" t="s">
        <v>752</v>
      </c>
      <c r="B567" s="21">
        <v>2</v>
      </c>
      <c r="C567" s="11">
        <v>120000</v>
      </c>
      <c r="D567" s="12">
        <v>2</v>
      </c>
      <c r="E567" s="13">
        <f>B567-D567</f>
        <v>0</v>
      </c>
    </row>
    <row r="568" spans="1:5" x14ac:dyDescent="0.35">
      <c r="A568" s="16" t="s">
        <v>753</v>
      </c>
      <c r="B568" s="16">
        <v>1</v>
      </c>
      <c r="C568" s="11">
        <v>70000</v>
      </c>
      <c r="D568" s="12"/>
      <c r="E568" s="13">
        <f>B568-D568</f>
        <v>1</v>
      </c>
    </row>
    <row r="569" spans="1:5" x14ac:dyDescent="0.35">
      <c r="A569" s="9" t="s">
        <v>889</v>
      </c>
      <c r="B569" s="16">
        <v>1</v>
      </c>
      <c r="C569" s="11">
        <v>28000</v>
      </c>
      <c r="D569" s="12"/>
      <c r="E569" s="13">
        <f>B569-D569</f>
        <v>1</v>
      </c>
    </row>
    <row r="570" spans="1:5" x14ac:dyDescent="0.35">
      <c r="A570" s="9" t="s">
        <v>890</v>
      </c>
      <c r="B570" s="16">
        <v>1</v>
      </c>
      <c r="C570" s="11">
        <v>38000</v>
      </c>
      <c r="D570" s="12"/>
      <c r="E570" s="13">
        <f>B570-D570</f>
        <v>1</v>
      </c>
    </row>
    <row r="571" spans="1:5" x14ac:dyDescent="0.35">
      <c r="A571" s="9" t="s">
        <v>891</v>
      </c>
      <c r="B571" s="16">
        <v>1</v>
      </c>
      <c r="C571" s="11">
        <v>28000</v>
      </c>
      <c r="D571" s="12"/>
      <c r="E571" s="13">
        <f>B571-D571</f>
        <v>1</v>
      </c>
    </row>
    <row r="572" spans="1:5" x14ac:dyDescent="0.35">
      <c r="A572" s="9" t="s">
        <v>892</v>
      </c>
      <c r="B572" s="16">
        <v>1</v>
      </c>
      <c r="C572" s="11">
        <v>102000</v>
      </c>
      <c r="D572" s="12"/>
      <c r="E572" s="13">
        <f>B572-D572</f>
        <v>1</v>
      </c>
    </row>
    <row r="573" spans="1:5" x14ac:dyDescent="0.35">
      <c r="A573" s="9" t="s">
        <v>754</v>
      </c>
      <c r="B573" s="9">
        <v>1</v>
      </c>
      <c r="C573" s="11">
        <v>17100</v>
      </c>
      <c r="D573" s="12"/>
      <c r="E573" s="13">
        <f>B573-D573</f>
        <v>1</v>
      </c>
    </row>
    <row r="574" spans="1:5" x14ac:dyDescent="0.35">
      <c r="A574" s="9" t="s">
        <v>755</v>
      </c>
      <c r="B574" s="32">
        <v>2</v>
      </c>
      <c r="C574" s="45">
        <v>17100</v>
      </c>
      <c r="D574" s="7"/>
      <c r="E574" s="8">
        <f>B574-D574</f>
        <v>2</v>
      </c>
    </row>
    <row r="575" spans="1:5" x14ac:dyDescent="0.35">
      <c r="A575" s="9" t="s">
        <v>756</v>
      </c>
      <c r="B575" s="32">
        <v>1</v>
      </c>
      <c r="C575" s="45">
        <v>9200</v>
      </c>
      <c r="D575" s="7"/>
      <c r="E575" s="8">
        <f>B575-D575</f>
        <v>1</v>
      </c>
    </row>
    <row r="576" spans="1:5" x14ac:dyDescent="0.35">
      <c r="A576" s="9" t="s">
        <v>757</v>
      </c>
      <c r="B576" s="32">
        <v>4</v>
      </c>
      <c r="C576" s="45">
        <v>9800</v>
      </c>
      <c r="D576" s="7"/>
      <c r="E576" s="8">
        <f>B576-D576</f>
        <v>4</v>
      </c>
    </row>
    <row r="577" spans="1:5" x14ac:dyDescent="0.35">
      <c r="A577" s="9" t="s">
        <v>893</v>
      </c>
      <c r="B577" s="32">
        <v>1</v>
      </c>
      <c r="C577" s="45">
        <v>50000</v>
      </c>
      <c r="D577" s="7"/>
      <c r="E577" s="8">
        <f>B577-D577</f>
        <v>1</v>
      </c>
    </row>
    <row r="578" spans="1:5" x14ac:dyDescent="0.35">
      <c r="A578" s="18"/>
      <c r="B578" s="18"/>
      <c r="C578" s="45"/>
      <c r="D578" s="7"/>
      <c r="E578" s="8"/>
    </row>
    <row r="579" spans="1:5" x14ac:dyDescent="0.35">
      <c r="D579" s="7"/>
      <c r="E579" s="8">
        <f>B579-D579</f>
        <v>0</v>
      </c>
    </row>
  </sheetData>
  <autoFilter ref="A1:E3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instrumentos </vt:lpstr>
      <vt:lpstr>acesorios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2025-12-20T17:23:27Z</dcterms:created>
  <dcterms:modified xsi:type="dcterms:W3CDTF">2026-03-18T01:32:23Z</dcterms:modified>
</cp:coreProperties>
</file>